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E2226" sheetId="1" r:id="rId4"/>
    <sheet name="Hoja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<sst xmlns="http://schemas.openxmlformats.org/spreadsheetml/2006/main" uniqueCount="62">
  <si>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Benemérita Escuela Normal Urbana Nocturna del Estado Ing. José G. Valenzuela</t>
  </si>
  <si>
    <t>CICLO ESCOLAR</t>
  </si>
  <si>
    <t>2024-2025</t>
  </si>
  <si>
    <t>LEE2022</t>
  </si>
  <si>
    <t>Licenciatura en Educación Especial</t>
  </si>
  <si>
    <t>LEE2226</t>
  </si>
  <si>
    <t>Intervención educativa para la persona en situación de discapacidad auditiva</t>
  </si>
  <si>
    <t>TELLEZ OSUNA, LIUBA ABIYOVA</t>
  </si>
  <si>
    <t>SEMESTRE</t>
  </si>
  <si>
    <t>MATUTINO</t>
  </si>
  <si>
    <t>M</t>
  </si>
  <si>
    <t>TOTAL HORAS</t>
  </si>
  <si>
    <t>CODIGO</t>
  </si>
  <si>
    <t>MATRICULA</t>
  </si>
  <si>
    <t>NOMBRE DEL ALUMNO</t>
  </si>
  <si>
    <t>UNIDAD 1</t>
  </si>
  <si>
    <t>UNIDAD 2</t>
  </si>
  <si>
    <t>EVIDENCIA FINAL</t>
  </si>
  <si>
    <t>EVALUACIÓN GLOBAL</t>
  </si>
  <si>
    <t>INASISTENCIAS</t>
  </si>
  <si>
    <t>% INASISTENCIAS</t>
  </si>
  <si>
    <t>230201350000</t>
  </si>
  <si>
    <t>ALATORRE DOMINGUEZ ANGEL GABRIEL</t>
  </si>
  <si>
    <t>230201360000</t>
  </si>
  <si>
    <t>ALDANA LEYVA ARIANA GUADALUPE</t>
  </si>
  <si>
    <t>230201370000</t>
  </si>
  <si>
    <t>ARREDONDO RIVERA KAREN YARETH</t>
  </si>
  <si>
    <t>230201380000</t>
  </si>
  <si>
    <t>BARRON TORRES PAULINA JANETH</t>
  </si>
  <si>
    <t>230201390000</t>
  </si>
  <si>
    <t>BERNAL BELTRAN ROSA ICELA</t>
  </si>
  <si>
    <t>230201410000</t>
  </si>
  <si>
    <t>GOMEZ RUIZ ILSE JASIEL</t>
  </si>
  <si>
    <t>230201420000</t>
  </si>
  <si>
    <t>GONZALEZ VALENZUELA JOHANA BERENICE</t>
  </si>
  <si>
    <t>230201430000</t>
  </si>
  <si>
    <t>HERNANDEZ IRACHETA ALAN ALBERTO</t>
  </si>
  <si>
    <t>230201440000</t>
  </si>
  <si>
    <t>HERRERA VILLEGAS ASTRID</t>
  </si>
  <si>
    <t>230201650000</t>
  </si>
  <si>
    <t>HIGUERA MORENO PAULA ISABEL</t>
  </si>
  <si>
    <t>230201450000</t>
  </si>
  <si>
    <t>IBARRA CARDENAS ALISON</t>
  </si>
  <si>
    <t>230201470000</t>
  </si>
  <si>
    <t>MONTIEL CASTRO FRIDA YADIRA</t>
  </si>
  <si>
    <t>230201480000</t>
  </si>
  <si>
    <t>MUÑOZ FLORES VERONICA</t>
  </si>
  <si>
    <t>230201490000</t>
  </si>
  <si>
    <t>OLIVARES GUARDADO YAMILY CAROLINA</t>
  </si>
  <si>
    <t>230201500000</t>
  </si>
  <si>
    <t>OROZCO VELARDE EDWIN IAN</t>
  </si>
  <si>
    <t>230201560000</t>
  </si>
  <si>
    <t>SANCHEZ RAMOS NANCY VALERIA</t>
  </si>
  <si>
    <t>230201570000</t>
  </si>
  <si>
    <t>VALENCIA REYES SOFIA</t>
  </si>
  <si>
    <t>230201580000</t>
  </si>
  <si>
    <t>VELASCO VALDEZ MARES ROLANDO</t>
  </si>
  <si>
    <t>230201590000</t>
  </si>
  <si>
    <t>ZAVALA PALOMARES ELENA</t>
  </si>
  <si>
    <t xml:space="preserve"> </t>
  </si>
  <si>
    <t>Valor mínimo aceptado</t>
  </si>
  <si>
    <t>Valor máximo aceptado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</si>
</sst>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D966"/>
        <bgColor rgb="FF000000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69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3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right" vertical="center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6" numFmtId="0" fillId="0" borderId="0" applyFont="1" applyNumberFormat="0" applyFill="0" applyBorder="0" applyAlignment="1" applyProtection="true">
      <alignment horizontal="right" vertical="center" textRotation="0" wrapText="false" shrinkToFit="false"/>
      <protection hidden="false"/>
    </xf>
    <xf xfId="0" fontId="2" numFmtId="0" fillId="2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4" numFmtId="0" fillId="2" borderId="2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4" numFmtId="0" fillId="2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7" numFmtId="0" fillId="3" borderId="2" applyFont="1" applyNumberFormat="0" applyFill="1" applyBorder="1" applyAlignment="1" applyProtection="true">
      <alignment horizontal="center" vertical="bottom" textRotation="90" wrapText="true" shrinkToFit="false"/>
      <protection hidden="false"/>
    </xf>
    <xf xfId="0" fontId="7" numFmtId="0" fillId="2" borderId="2" applyFont="1" applyNumberFormat="0" applyFill="1" applyBorder="1" applyAlignment="1" applyProtection="true">
      <alignment horizontal="center" vertical="bottom" textRotation="90" wrapText="true" shrinkToFit="false"/>
      <protection hidden="false"/>
    </xf>
    <xf xfId="0" fontId="7" numFmtId="0" fillId="4" borderId="3" applyFont="1" applyNumberFormat="0" applyFill="1" applyBorder="1" applyAlignment="1" applyProtection="true">
      <alignment horizontal="center" vertical="bottom" textRotation="90" wrapText="true" shrinkToFit="false"/>
      <protection hidden="false"/>
    </xf>
    <xf xfId="0" fontId="4" numFmtId="0" fillId="2" borderId="4" applyFont="1" applyNumberFormat="0" applyFill="1" applyBorder="1" applyAlignment="1" applyProtection="true">
      <alignment horizontal="center" vertical="center" textRotation="90" wrapText="true" shrinkToFit="false"/>
      <protection hidden="false"/>
    </xf>
    <xf xfId="0" fontId="2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0" fillId="0" borderId="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2" numFmtId="49" fillId="0" borderId="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" numFmtId="0" fillId="2" borderId="7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3" fillId="0" borderId="7" applyFont="1" applyNumberFormat="1" applyFill="0" applyBorder="1" applyAlignment="1" applyProtection="true">
      <alignment horizontal="center" vertical="bottom" textRotation="0" wrapText="false" shrinkToFit="false"/>
      <protection locked="false" hidden="false"/>
    </xf>
    <xf xfId="0" fontId="2" numFmtId="3" fillId="0" borderId="8" applyFont="1" applyNumberFormat="1" applyFill="0" applyBorder="1" applyAlignment="1" applyProtection="true">
      <alignment horizontal="center" vertical="bottom" textRotation="0" wrapText="false" shrinkToFit="false"/>
      <protection locked="false" hidden="false"/>
    </xf>
    <xf xfId="0" fontId="2" numFmtId="3" fillId="0" borderId="9" applyFont="1" applyNumberFormat="1" applyFill="0" applyBorder="1" applyAlignment="1" applyProtection="true">
      <alignment horizontal="center" vertical="bottom" textRotation="0" wrapText="false" shrinkToFit="false"/>
      <protection locked="false" hidden="false"/>
    </xf>
    <xf xfId="0" fontId="2" numFmtId="0" fillId="2" borderId="10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2" borderId="1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49" fillId="2" borderId="1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2" borderId="12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3" fillId="2" borderId="13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2" numFmtId="3" fillId="2" borderId="14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2" numFmtId="3" fillId="2" borderId="15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2" numFmtId="0" fillId="0" borderId="1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0" fillId="0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2" numFmtId="49" fillId="0" borderId="1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" numFmtId="0" fillId="2" borderId="12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3" fillId="0" borderId="13" applyFont="1" applyNumberFormat="1" applyFill="0" applyBorder="1" applyAlignment="1" applyProtection="true">
      <alignment horizontal="center" vertical="bottom" textRotation="0" wrapText="false" shrinkToFit="false"/>
      <protection locked="false" hidden="false"/>
    </xf>
    <xf xfId="0" fontId="2" numFmtId="3" fillId="0" borderId="14" applyFont="1" applyNumberFormat="1" applyFill="0" applyBorder="1" applyAlignment="1" applyProtection="true">
      <alignment horizontal="center" vertical="bottom" textRotation="0" wrapText="false" shrinkToFit="false"/>
      <protection locked="false" hidden="false"/>
    </xf>
    <xf xfId="0" fontId="2" numFmtId="3" fillId="0" borderId="15" applyFont="1" applyNumberFormat="1" applyFill="0" applyBorder="1" applyAlignment="1" applyProtection="true">
      <alignment horizontal="center" vertical="bottom" textRotation="0" wrapText="false" shrinkToFit="false"/>
      <protection locked="false" hidden="false"/>
    </xf>
    <xf xfId="0" fontId="2" numFmtId="0" fillId="2" borderId="16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2" borderId="1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49" fillId="2" borderId="1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2" borderId="18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3" fillId="2" borderId="19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2" numFmtId="3" fillId="2" borderId="20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2" numFmtId="3" fillId="2" borderId="21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4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 hidden="false"/>
    </xf>
    <xf xfId="0" fontId="6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6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0" fillId="2" borderId="0" applyFont="1" applyNumberFormat="0" applyFill="1" applyBorder="0" applyAlignment="1" applyProtection="true">
      <alignment horizontal="center" vertical="bottom" textRotation="90" wrapText="true" shrinkToFit="false"/>
      <protection hidden="false"/>
    </xf>
    <xf xfId="0" fontId="7" numFmtId="0" fillId="5" borderId="22" applyFont="1" applyNumberFormat="0" applyFill="1" applyBorder="1" applyAlignment="1" applyProtection="true">
      <alignment horizontal="center" vertical="bottom" textRotation="90" wrapText="false" shrinkToFit="false"/>
      <protection hidden="false"/>
    </xf>
    <xf xfId="0" fontId="7" numFmtId="0" fillId="2" borderId="23" applyFont="1" applyNumberFormat="0" applyFill="1" applyBorder="1" applyAlignment="1" applyProtection="true">
      <alignment horizontal="center" vertical="bottom" textRotation="90" wrapText="true" shrinkToFit="false"/>
      <protection hidden="false"/>
    </xf>
    <xf xfId="0" fontId="2" numFmtId="1" fillId="0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2" numFmtId="1" fillId="0" borderId="5" applyFont="1" applyNumberFormat="1" applyFill="0" applyBorder="1" applyAlignment="1" applyProtection="true">
      <alignment horizontal="center" vertical="bottom" textRotation="0" wrapText="false" shrinkToFit="false"/>
      <protection locked="false" hidden="false"/>
    </xf>
    <xf xfId="0" fontId="2" numFmtId="1" fillId="0" borderId="24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" numFmtId="1" fillId="2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2" numFmtId="1" fillId="2" borderId="10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2" numFmtId="1" fillId="2" borderId="2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2" numFmtId="1" fillId="0" borderId="10" applyFont="1" applyNumberFormat="1" applyFill="0" applyBorder="1" applyAlignment="1" applyProtection="true">
      <alignment horizontal="center" vertical="bottom" textRotation="0" wrapText="false" shrinkToFit="false"/>
      <protection locked="false" hidden="false"/>
    </xf>
    <xf xfId="0" fontId="2" numFmtId="1" fillId="0" borderId="25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" numFmtId="3" fillId="2" borderId="16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2" numFmtId="3" fillId="2" borderId="26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0"/>
  <sheetViews>
    <sheetView tabSelected="1" workbookViewId="0" showGridLines="true" showRowColHeaders="1">
      <selection activeCell="O12" sqref="O12"/>
    </sheetView>
  </sheetViews>
  <sheetFormatPr customHeight="true" defaultRowHeight="14.4" outlineLevelRow="0" outlineLevelCol="0"/>
  <cols>
    <col min="1" max="1" width="2.7109375" customWidth="true" style="0"/>
    <col min="2" max="2" width="8.13671875" customWidth="true" style="1"/>
    <col min="3" max="3" width="17" customWidth="true" style="1"/>
    <col min="4" max="4" width="45.13671875" customWidth="true" style="0"/>
    <col min="5" max="5" width="4.5703125" customWidth="true" style="0"/>
    <col min="6" max="6" width="4.5703125" customWidth="true" style="0"/>
    <col min="7" max="7" width="4.5703125" customWidth="true" style="0"/>
    <col min="8" max="8" width="6.28515625" customWidth="true" style="0"/>
    <col min="9" max="9" width="1.7109375" customWidth="true" style="2"/>
    <col min="10" max="10" width="4.28515625" customWidth="true" style="0"/>
    <col min="11" max="11" width="4.28515625" customWidth="true" style="0"/>
    <col min="12" max="12" width="3.13671875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</cols>
  <sheetData>
    <row r="1" spans="1:27" customHeight="1" ht="18">
      <c r="A1" s="3"/>
      <c r="B1" s="4"/>
      <c r="C1" s="5" t="s">
        <v>0</v>
      </c>
      <c r="D1" s="5"/>
      <c r="E1" s="5"/>
      <c r="F1" s="5"/>
      <c r="G1" s="5"/>
      <c r="H1" s="5"/>
      <c r="I1" s="5"/>
      <c r="J1" s="5"/>
      <c r="K1" s="5"/>
    </row>
    <row r="2" spans="1:27" customHeight="1" ht="14.45">
      <c r="A2" s="3"/>
      <c r="B2" s="4"/>
      <c r="C2" s="6" t="s">
        <v>1</v>
      </c>
      <c r="D2" s="7" t="s">
        <v>2</v>
      </c>
      <c r="E2" s="7"/>
      <c r="F2" s="7"/>
      <c r="G2" s="7"/>
      <c r="H2" s="7"/>
      <c r="I2" s="7"/>
      <c r="J2" s="7"/>
      <c r="K2" s="7"/>
    </row>
    <row r="3" spans="1:27" customHeight="1" ht="14.45">
      <c r="A3" s="3"/>
      <c r="B3" s="4"/>
      <c r="C3" s="6" t="s">
        <v>3</v>
      </c>
      <c r="D3" s="7" t="s">
        <v>4</v>
      </c>
      <c r="E3" s="7"/>
      <c r="F3" s="7"/>
      <c r="G3" s="7"/>
      <c r="H3" s="7"/>
      <c r="I3" s="7"/>
      <c r="J3" s="7"/>
      <c r="K3" s="7"/>
    </row>
    <row r="4" spans="1:27" customHeight="1" ht="14.45">
      <c r="A4" s="3"/>
      <c r="B4" s="4"/>
      <c r="C4" s="7" t="s">
        <v>5</v>
      </c>
      <c r="D4" s="7" t="s">
        <v>6</v>
      </c>
      <c r="E4" s="7"/>
      <c r="F4" s="7"/>
      <c r="G4" s="7"/>
      <c r="H4" s="7"/>
      <c r="I4" s="7"/>
      <c r="J4" s="7"/>
      <c r="K4" s="7"/>
    </row>
    <row r="5" spans="1:27" customHeight="1" ht="14.45">
      <c r="A5" s="3"/>
      <c r="B5" s="4"/>
      <c r="C5" s="7">
        <v>27</v>
      </c>
      <c r="D5" s="7" t="s">
        <v>7</v>
      </c>
      <c r="E5" s="7"/>
      <c r="F5" s="7"/>
      <c r="G5" s="7"/>
      <c r="H5" s="7"/>
      <c r="I5" s="7"/>
      <c r="J5" s="7"/>
      <c r="K5" s="7"/>
    </row>
    <row r="6" spans="1:27" customHeight="1" ht="14.45">
      <c r="A6" s="8"/>
      <c r="B6" s="9" t="s">
        <v>8</v>
      </c>
      <c r="C6" s="10">
        <v>4</v>
      </c>
      <c r="D6" s="11" t="s">
        <v>9</v>
      </c>
      <c r="E6" s="12" t="s">
        <v>10</v>
      </c>
      <c r="F6" s="13"/>
      <c r="G6" s="14" t="s">
        <v>11</v>
      </c>
      <c r="H6" s="14"/>
      <c r="I6" s="14"/>
      <c r="J6" s="52">
        <v>72</v>
      </c>
      <c r="K6" s="53"/>
      <c r="L6" s="54"/>
    </row>
    <row r="7" spans="1:27" customHeight="1" ht="85.15">
      <c r="A7" s="15"/>
      <c r="B7" s="16" t="s">
        <v>12</v>
      </c>
      <c r="C7" s="17" t="s">
        <v>13</v>
      </c>
      <c r="D7" s="16" t="s">
        <v>14</v>
      </c>
      <c r="E7" s="18" t="s">
        <v>15</v>
      </c>
      <c r="F7" s="19" t="s">
        <v>16</v>
      </c>
      <c r="G7" s="20" t="s">
        <v>17</v>
      </c>
      <c r="H7" s="21" t="s">
        <v>18</v>
      </c>
      <c r="I7" s="55"/>
      <c r="J7" s="56" t="s">
        <v>19</v>
      </c>
      <c r="K7" s="57" t="s">
        <v>20</v>
      </c>
    </row>
    <row r="8" spans="1:27" customHeight="1" ht="14.4">
      <c r="A8" s="22">
        <v>1</v>
      </c>
      <c r="B8" s="23">
        <v>187</v>
      </c>
      <c r="C8" s="24" t="s">
        <v>21</v>
      </c>
      <c r="D8" s="25" t="s">
        <v>22</v>
      </c>
      <c r="E8" s="26">
        <v>7</v>
      </c>
      <c r="F8" s="26">
        <v>9</v>
      </c>
      <c r="G8" s="27">
        <v>9</v>
      </c>
      <c r="H8" s="28">
        <f>IF(K8&lt;85,"No%",TRUNC((IF(ISNUMBER(E8),E8,0)+IF(ISNUMBER(F8),F8,0))/IF(COUNT(D8:F8)=0,1,COUNT(D8:F8))/2+(IF(ISNUMBER(G8),G8,0)/2),0))</f>
        <v>8</v>
      </c>
      <c r="I8" s="58"/>
      <c r="J8" s="59">
        <v>8</v>
      </c>
      <c r="K8" s="60">
        <f>TRUNC((((J$6-IF(ISNUMBER(J8),J8,0))*100)/J$6),0)</f>
        <v>88</v>
      </c>
    </row>
    <row r="9" spans="1:27" customHeight="1" ht="14.4">
      <c r="A9" s="29">
        <v>2</v>
      </c>
      <c r="B9" s="30">
        <v>188</v>
      </c>
      <c r="C9" s="31" t="s">
        <v>23</v>
      </c>
      <c r="D9" s="32" t="s">
        <v>24</v>
      </c>
      <c r="E9" s="33">
        <v>8</v>
      </c>
      <c r="F9" s="33">
        <v>10</v>
      </c>
      <c r="G9" s="34">
        <v>10</v>
      </c>
      <c r="H9" s="35">
        <f>IF(K9&lt;85,"No%",TRUNC((IF(ISNUMBER(E9),E9,0)+IF(ISNUMBER(F9),F9,0))/IF(COUNT(D9:D9)=0,1,COUNT(D9:D9))/2+(IF(ISNUMBER(G9),G9,0)/2),0))</f>
        <v>14</v>
      </c>
      <c r="I9" s="61"/>
      <c r="J9" s="62">
        <v>0.0</v>
      </c>
      <c r="K9" s="63">
        <f>TRUNC((((J$6-IF(ISNUMBER(J9),J9,0))*100)/J$6),0)</f>
        <v>100</v>
      </c>
    </row>
    <row r="10" spans="1:27" customHeight="1" ht="14.4">
      <c r="A10" s="36">
        <v>3</v>
      </c>
      <c r="B10" s="37">
        <v>189</v>
      </c>
      <c r="C10" s="38" t="s">
        <v>25</v>
      </c>
      <c r="D10" s="39" t="s">
        <v>26</v>
      </c>
      <c r="E10" s="40">
        <v>8</v>
      </c>
      <c r="F10" s="40">
        <v>10</v>
      </c>
      <c r="G10" s="41">
        <v>10</v>
      </c>
      <c r="H10" s="42">
        <f>IF(K10&lt;85,"No%",TRUNC((IF(ISNUMBER(E10),E10,0)+IF(ISNUMBER(F10),F10,0))/IF(COUNT(D10:D10)=0,1,COUNT(D10:D10))/2+(IF(ISNUMBER(G10),G10,0)/2),0))</f>
        <v>14</v>
      </c>
      <c r="I10" s="58"/>
      <c r="J10" s="64">
        <v>0.0</v>
      </c>
      <c r="K10" s="65">
        <f>TRUNC((((J$6-IF(ISNUMBER(J10),J10,0))*100)/J$6),0)</f>
        <v>100</v>
      </c>
    </row>
    <row r="11" spans="1:27" customHeight="1" ht="14.4">
      <c r="A11" s="29">
        <v>4</v>
      </c>
      <c r="B11" s="30">
        <v>190</v>
      </c>
      <c r="C11" s="31" t="s">
        <v>27</v>
      </c>
      <c r="D11" s="32" t="s">
        <v>28</v>
      </c>
      <c r="E11" s="33">
        <v>7</v>
      </c>
      <c r="F11" s="33">
        <v>9</v>
      </c>
      <c r="G11" s="34">
        <v>7</v>
      </c>
      <c r="H11" s="35" t="str">
        <f>IF(K11&lt;85,"No%",TRUNC((IF(ISNUMBER(E11),E11,0)+IF(ISNUMBER(F11),F11,0))/IF(COUNT(D11:D11)=0,1,COUNT(D11:D11))/2+(IF(ISNUMBER(G11),G11,0)/2),0))</f>
        <v>No%</v>
      </c>
      <c r="I11" s="61"/>
      <c r="J11" s="62">
        <v>13</v>
      </c>
      <c r="K11" s="63">
        <f>TRUNC((((J$6-IF(ISNUMBER(J11),J11,0))*100)/J$6),0)</f>
        <v>81</v>
      </c>
    </row>
    <row r="12" spans="1:27" customHeight="1" ht="14.4">
      <c r="A12" s="36">
        <v>5</v>
      </c>
      <c r="B12" s="37">
        <v>191</v>
      </c>
      <c r="C12" s="38" t="s">
        <v>29</v>
      </c>
      <c r="D12" s="39" t="s">
        <v>30</v>
      </c>
      <c r="E12" s="40">
        <v>9</v>
      </c>
      <c r="F12" s="40">
        <v>8</v>
      </c>
      <c r="G12" s="41">
        <v>9</v>
      </c>
      <c r="H12" s="42">
        <f>IF(K12&lt;85,"No%",TRUNC((IF(ISNUMBER(E12),E12,0)+IF(ISNUMBER(F12),F12,0))/IF(COUNT(D12:D12)=0,1,COUNT(D12:D12))/2+(IF(ISNUMBER(G12),G12,0)/2),0))</f>
        <v>13</v>
      </c>
      <c r="I12" s="58"/>
      <c r="J12" s="64">
        <v>4</v>
      </c>
      <c r="K12" s="65">
        <f>TRUNC((((J$6-IF(ISNUMBER(J12),J12,0))*100)/J$6),0)</f>
        <v>94</v>
      </c>
    </row>
    <row r="13" spans="1:27" customHeight="1" ht="14.4">
      <c r="A13" s="29">
        <v>6</v>
      </c>
      <c r="B13" s="30">
        <v>235</v>
      </c>
      <c r="C13" s="31" t="s">
        <v>31</v>
      </c>
      <c r="D13" s="32" t="s">
        <v>32</v>
      </c>
      <c r="E13" s="33">
        <v>7</v>
      </c>
      <c r="F13" s="33">
        <v>9</v>
      </c>
      <c r="G13" s="34">
        <v>9</v>
      </c>
      <c r="H13" s="35">
        <f>IF(K13&lt;85,"No%",TRUNC((IF(ISNUMBER(E13),E13,0)+IF(ISNUMBER(F13),F13,0))/IF(COUNT(D13:D13)=0,1,COUNT(D13:D13))/2+(IF(ISNUMBER(G13),G13,0)/2),0))</f>
        <v>12</v>
      </c>
      <c r="I13" s="61"/>
      <c r="J13" s="62">
        <v>8</v>
      </c>
      <c r="K13" s="63">
        <f>TRUNC((((J$6-IF(ISNUMBER(J13),J13,0))*100)/J$6),0)</f>
        <v>88</v>
      </c>
    </row>
    <row r="14" spans="1:27" customHeight="1" ht="14.4">
      <c r="A14" s="36">
        <v>7</v>
      </c>
      <c r="B14" s="37">
        <v>236</v>
      </c>
      <c r="C14" s="38" t="s">
        <v>33</v>
      </c>
      <c r="D14" s="39" t="s">
        <v>34</v>
      </c>
      <c r="E14" s="40">
        <v>6</v>
      </c>
      <c r="F14" s="40">
        <v>9</v>
      </c>
      <c r="G14" s="41">
        <v>9</v>
      </c>
      <c r="H14" s="42">
        <v>8</v>
      </c>
      <c r="I14" s="58"/>
      <c r="J14" s="64">
        <v>15</v>
      </c>
      <c r="K14" s="65">
        <f>TRUNC((((J$6-IF(ISNUMBER(J14),J14,0))*100)/J$6),0)</f>
        <v>79</v>
      </c>
    </row>
    <row r="15" spans="1:27" customHeight="1" ht="14.4">
      <c r="A15" s="29">
        <v>8</v>
      </c>
      <c r="B15" s="30">
        <v>237</v>
      </c>
      <c r="C15" s="31" t="s">
        <v>35</v>
      </c>
      <c r="D15" s="32" t="s">
        <v>36</v>
      </c>
      <c r="E15" s="33">
        <v>5</v>
      </c>
      <c r="F15" s="33">
        <v>9</v>
      </c>
      <c r="G15" s="34">
        <v>9</v>
      </c>
      <c r="H15" s="35" t="str">
        <f>IF(K15&lt;85,"No%",TRUNC((IF(ISNUMBER(E15),E15,0)+IF(ISNUMBER(F15),F15,0))/IF(COUNT(D15:D15)=0,1,COUNT(D15:D15))/2+(IF(ISNUMBER(G15),G15,0)/2),0))</f>
        <v>No%</v>
      </c>
      <c r="I15" s="61"/>
      <c r="J15" s="62">
        <v>11</v>
      </c>
      <c r="K15" s="63">
        <f>TRUNC((((J$6-IF(ISNUMBER(J15),J15,0))*100)/J$6),0)</f>
        <v>84</v>
      </c>
    </row>
    <row r="16" spans="1:27" customHeight="1" ht="14.4">
      <c r="A16" s="36">
        <v>9</v>
      </c>
      <c r="B16" s="37">
        <v>238</v>
      </c>
      <c r="C16" s="38" t="s">
        <v>37</v>
      </c>
      <c r="D16" s="39" t="s">
        <v>38</v>
      </c>
      <c r="E16" s="40">
        <v>8</v>
      </c>
      <c r="F16" s="40">
        <v>9</v>
      </c>
      <c r="G16" s="41">
        <v>10</v>
      </c>
      <c r="H16" s="42">
        <f>IF(K16&lt;85,"No%",TRUNC((IF(ISNUMBER(E16),E16,0)+IF(ISNUMBER(F16),F16,0))/IF(COUNT(D16:D16)=0,1,COUNT(D16:D16))/2+(IF(ISNUMBER(G16),G16,0)/2),0))</f>
        <v>13</v>
      </c>
      <c r="I16" s="58"/>
      <c r="J16" s="64">
        <v>0.0</v>
      </c>
      <c r="K16" s="65">
        <f>TRUNC((((J$6-IF(ISNUMBER(J16),J16,0))*100)/J$6),0)</f>
        <v>100</v>
      </c>
    </row>
    <row r="17" spans="1:27" customHeight="1" ht="14.4">
      <c r="A17" s="29">
        <v>10</v>
      </c>
      <c r="B17" s="30">
        <v>197</v>
      </c>
      <c r="C17" s="31" t="s">
        <v>39</v>
      </c>
      <c r="D17" s="32" t="s">
        <v>40</v>
      </c>
      <c r="E17" s="33">
        <v>5</v>
      </c>
      <c r="F17" s="33">
        <v>9</v>
      </c>
      <c r="G17" s="34">
        <v>8</v>
      </c>
      <c r="H17" s="35" t="str">
        <f>IF(K17&lt;85,"No%",TRUNC((IF(ISNUMBER(E17),E17,0)+IF(ISNUMBER(F17),F17,0))/IF(COUNT(D17:D17)=0,1,COUNT(D17:D17))/2+(IF(ISNUMBER(G17),G17,0)/2),0))</f>
        <v>No%</v>
      </c>
      <c r="I17" s="61"/>
      <c r="J17" s="62">
        <v>12</v>
      </c>
      <c r="K17" s="63">
        <f>TRUNC((((J$6-IF(ISNUMBER(J17),J17,0))*100)/J$6),0)</f>
        <v>83</v>
      </c>
    </row>
    <row r="18" spans="1:27" customHeight="1" ht="14.4">
      <c r="A18" s="36">
        <v>11</v>
      </c>
      <c r="B18" s="37">
        <v>239</v>
      </c>
      <c r="C18" s="38" t="s">
        <v>41</v>
      </c>
      <c r="D18" s="39" t="s">
        <v>42</v>
      </c>
      <c r="E18" s="40">
        <v>8</v>
      </c>
      <c r="F18" s="40">
        <v>10</v>
      </c>
      <c r="G18" s="41">
        <v>9</v>
      </c>
      <c r="H18" s="42">
        <f>IF(K18&lt;85,"No%",TRUNC((IF(ISNUMBER(E18),E18,0)+IF(ISNUMBER(F18),F18,0))/IF(COUNT(D18:D18)=0,1,COUNT(D18:D18))/2+(IF(ISNUMBER(G18),G18,0)/2),0))</f>
        <v>13</v>
      </c>
      <c r="I18" s="58"/>
      <c r="J18" s="64">
        <v>0.0</v>
      </c>
      <c r="K18" s="65">
        <f>TRUNC((((J$6-IF(ISNUMBER(J18),J18,0))*100)/J$6),0)</f>
        <v>100</v>
      </c>
    </row>
    <row r="19" spans="1:27" customHeight="1" ht="14.4">
      <c r="A19" s="29">
        <v>12</v>
      </c>
      <c r="B19" s="30">
        <v>241</v>
      </c>
      <c r="C19" s="31" t="s">
        <v>43</v>
      </c>
      <c r="D19" s="32" t="s">
        <v>44</v>
      </c>
      <c r="E19" s="33">
        <v>9</v>
      </c>
      <c r="F19" s="33">
        <v>9</v>
      </c>
      <c r="G19" s="34">
        <v>10</v>
      </c>
      <c r="H19" s="35">
        <f>IF(K19&lt;85,"No%",TRUNC((IF(ISNUMBER(E19),E19,0)+IF(ISNUMBER(F19),F19,0))/IF(COUNT(D19:D19)=0,1,COUNT(D19:D19))/2+(IF(ISNUMBER(G19),G19,0)/2),0))</f>
        <v>14</v>
      </c>
      <c r="I19" s="61"/>
      <c r="J19" s="62">
        <v>0.0</v>
      </c>
      <c r="K19" s="63">
        <f>TRUNC((((J$6-IF(ISNUMBER(J19),J19,0))*100)/J$6),0)</f>
        <v>100</v>
      </c>
    </row>
    <row r="20" spans="1:27" customHeight="1" ht="14.4">
      <c r="A20" s="36">
        <v>13</v>
      </c>
      <c r="B20" s="37">
        <v>242</v>
      </c>
      <c r="C20" s="38" t="s">
        <v>45</v>
      </c>
      <c r="D20" s="39" t="s">
        <v>46</v>
      </c>
      <c r="E20" s="40">
        <v>9</v>
      </c>
      <c r="F20" s="40">
        <v>9</v>
      </c>
      <c r="G20" s="41">
        <v>10</v>
      </c>
      <c r="H20" s="42">
        <f>IF(K20&lt;85,"No%",TRUNC((IF(ISNUMBER(E20),E20,0)+IF(ISNUMBER(F20),F20,0))/IF(COUNT(D20:D20)=0,1,COUNT(D20:D20))/2+(IF(ISNUMBER(G20),G20,0)/2),0))</f>
        <v>14</v>
      </c>
      <c r="I20" s="58"/>
      <c r="J20" s="64">
        <v>0.0</v>
      </c>
      <c r="K20" s="65">
        <f>TRUNC((((J$6-IF(ISNUMBER(J20),J20,0))*100)/J$6),0)</f>
        <v>100</v>
      </c>
    </row>
    <row r="21" spans="1:27" customHeight="1" ht="14.4">
      <c r="A21" s="29">
        <v>14</v>
      </c>
      <c r="B21" s="30">
        <v>243</v>
      </c>
      <c r="C21" s="31" t="s">
        <v>47</v>
      </c>
      <c r="D21" s="32" t="s">
        <v>48</v>
      </c>
      <c r="E21" s="33">
        <v>9</v>
      </c>
      <c r="F21" s="33">
        <v>10</v>
      </c>
      <c r="G21" s="34">
        <v>10</v>
      </c>
      <c r="H21" s="35">
        <f>IF(K21&lt;85,"No%",TRUNC((IF(ISNUMBER(E21),E21,0)+IF(ISNUMBER(F21),F21,0))/IF(COUNT(D21:D21)=0,1,COUNT(D21:D21))/2+(IF(ISNUMBER(G21),G21,0)/2),0))</f>
        <v>14</v>
      </c>
      <c r="I21" s="61"/>
      <c r="J21" s="62">
        <v>0.0</v>
      </c>
      <c r="K21" s="63">
        <f>TRUNC((((J$6-IF(ISNUMBER(J21),J21,0))*100)/J$6),0)</f>
        <v>100</v>
      </c>
    </row>
    <row r="22" spans="1:27" customHeight="1" ht="14.4">
      <c r="A22" s="36">
        <v>15</v>
      </c>
      <c r="B22" s="37">
        <v>244</v>
      </c>
      <c r="C22" s="38" t="s">
        <v>49</v>
      </c>
      <c r="D22" s="39" t="s">
        <v>50</v>
      </c>
      <c r="E22" s="40">
        <v>5</v>
      </c>
      <c r="F22" s="40">
        <v>5</v>
      </c>
      <c r="G22" s="41">
        <v>6</v>
      </c>
      <c r="H22" s="42" t="str">
        <f>IF(K22&lt;85,"No%",TRUNC((IF(ISNUMBER(E22),E22,0)+IF(ISNUMBER(F22),F22,0))/IF(COUNT(D22:D22)=0,1,COUNT(D22:D22))/2+(IF(ISNUMBER(G22),G22,0)/2),0))</f>
        <v>No%</v>
      </c>
      <c r="I22" s="58"/>
      <c r="J22" s="64">
        <v>18</v>
      </c>
      <c r="K22" s="65">
        <f>TRUNC((((J$6-IF(ISNUMBER(J22),J22,0))*100)/J$6),0)</f>
        <v>75</v>
      </c>
    </row>
    <row r="23" spans="1:27" customHeight="1" ht="14.4">
      <c r="A23" s="29">
        <v>16</v>
      </c>
      <c r="B23" s="30">
        <v>250</v>
      </c>
      <c r="C23" s="31" t="s">
        <v>51</v>
      </c>
      <c r="D23" s="32" t="s">
        <v>52</v>
      </c>
      <c r="E23" s="33">
        <v>9</v>
      </c>
      <c r="F23" s="33">
        <v>10</v>
      </c>
      <c r="G23" s="34">
        <v>10</v>
      </c>
      <c r="H23" s="35">
        <f>IF(K23&lt;85,"No%",TRUNC((IF(ISNUMBER(E23),E23,0)+IF(ISNUMBER(F23),F23,0))/IF(COUNT(D23:D23)=0,1,COUNT(D23:D23))/2+(IF(ISNUMBER(G23),G23,0)/2),0))</f>
        <v>14</v>
      </c>
      <c r="I23" s="61"/>
      <c r="J23" s="62">
        <v>0.0</v>
      </c>
      <c r="K23" s="63">
        <f>TRUNC((((J$6-IF(ISNUMBER(J23),J23,0))*100)/J$6),0)</f>
        <v>100</v>
      </c>
    </row>
    <row r="24" spans="1:27" customHeight="1" ht="14.4">
      <c r="A24" s="36">
        <v>17</v>
      </c>
      <c r="B24" s="37">
        <v>251</v>
      </c>
      <c r="C24" s="38" t="s">
        <v>53</v>
      </c>
      <c r="D24" s="39" t="s">
        <v>54</v>
      </c>
      <c r="E24" s="40">
        <v>9</v>
      </c>
      <c r="F24" s="40">
        <v>5</v>
      </c>
      <c r="G24" s="41">
        <v>10</v>
      </c>
      <c r="H24" s="42">
        <f>IF(K24&lt;85,"No%",TRUNC((IF(ISNUMBER(E24),E24,0)+IF(ISNUMBER(F24),F24,0))/IF(COUNT(D24:D24)=0,1,COUNT(D24:D24))/2+(IF(ISNUMBER(G24),G24,0)/2),0))</f>
        <v>12</v>
      </c>
      <c r="I24" s="58"/>
      <c r="J24" s="64">
        <v>4</v>
      </c>
      <c r="K24" s="65">
        <f>TRUNC((((J$6-IF(ISNUMBER(J24),J24,0))*100)/J$6),0)</f>
        <v>94</v>
      </c>
    </row>
    <row r="25" spans="1:27" customHeight="1" ht="14.4">
      <c r="A25" s="29">
        <v>18</v>
      </c>
      <c r="B25" s="30">
        <v>252</v>
      </c>
      <c r="C25" s="31" t="s">
        <v>55</v>
      </c>
      <c r="D25" s="32" t="s">
        <v>56</v>
      </c>
      <c r="E25" s="33">
        <v>7</v>
      </c>
      <c r="F25" s="33">
        <v>5</v>
      </c>
      <c r="G25" s="34">
        <v>5</v>
      </c>
      <c r="H25" s="35" t="str">
        <f>IF(K25&lt;85,"No%",TRUNC((IF(ISNUMBER(E25),E25,0)+IF(ISNUMBER(F25),F25,0))/IF(COUNT(D25:D25)=0,1,COUNT(D25:D25))/2+(IF(ISNUMBER(G25),G25,0)/2),0))</f>
        <v>No%</v>
      </c>
      <c r="I25" s="61"/>
      <c r="J25" s="62">
        <v>12</v>
      </c>
      <c r="K25" s="63">
        <f>TRUNC((((J$6-IF(ISNUMBER(J25),J25,0))*100)/J$6),0)</f>
        <v>83</v>
      </c>
    </row>
    <row r="26" spans="1:27" customHeight="1" ht="14.4">
      <c r="A26" s="36">
        <v>19</v>
      </c>
      <c r="B26" s="37">
        <v>253</v>
      </c>
      <c r="C26" s="38" t="s">
        <v>57</v>
      </c>
      <c r="D26" s="39" t="s">
        <v>58</v>
      </c>
      <c r="E26" s="40">
        <v>5</v>
      </c>
      <c r="F26" s="40">
        <v>5</v>
      </c>
      <c r="G26" s="41">
        <v>5</v>
      </c>
      <c r="H26" s="42" t="str">
        <f>IF(K26&lt;85,"No%",TRUNC((IF(ISNUMBER(E26),E26,0)+IF(ISNUMBER(F26),F26,0))/IF(COUNT(D26:D26)=0,1,COUNT(D26:D26))/2+(IF(ISNUMBER(G26),G26,0)/2),0))</f>
        <v>No%</v>
      </c>
      <c r="I26" s="58"/>
      <c r="J26" s="64">
        <v>72</v>
      </c>
      <c r="K26" s="65">
        <f>TRUNC((((J$6-IF(ISNUMBER(J26),J26,0))*100)/J$6),0)</f>
        <v>0</v>
      </c>
    </row>
    <row r="27" spans="1:27" customHeight="1" ht="14.4">
      <c r="A27" s="29">
        <v>20</v>
      </c>
      <c r="B27" s="30"/>
      <c r="C27" s="31"/>
      <c r="D27" s="32"/>
      <c r="E27" s="33" t="s">
        <v>59</v>
      </c>
      <c r="F27" s="33" t="s">
        <v>59</v>
      </c>
      <c r="G27" s="34" t="s">
        <v>59</v>
      </c>
      <c r="H27" s="35">
        <f>IF(K27&lt;85,"No%",TRUNC((IF(ISNUMBER(E27),E27,0)+IF(ISNUMBER(F27),F27,0))/IF(COUNT(D27:D27)=0,1,COUNT(D27:D27))/2+(IF(ISNUMBER(G27),G27,0)/2),0))</f>
        <v>0</v>
      </c>
      <c r="I27" s="61"/>
      <c r="J27" s="62" t="s">
        <v>59</v>
      </c>
      <c r="K27" s="63">
        <f>TRUNC((((J$6-IF(ISNUMBER(J27),J27,0))*100)/J$6),0)</f>
        <v>100</v>
      </c>
    </row>
    <row r="28" spans="1:27" customHeight="1" ht="14.4">
      <c r="A28" s="36">
        <v>21</v>
      </c>
      <c r="B28" s="37"/>
      <c r="C28" s="38"/>
      <c r="D28" s="39"/>
      <c r="E28" s="40" t="s">
        <v>59</v>
      </c>
      <c r="F28" s="40" t="s">
        <v>59</v>
      </c>
      <c r="G28" s="41" t="s">
        <v>59</v>
      </c>
      <c r="H28" s="42">
        <f>IF(K28&lt;85,"No%",TRUNC((IF(ISNUMBER(E28),E28,0)+IF(ISNUMBER(F28),F28,0))/IF(COUNT(D28:D28)=0,1,COUNT(D28:D28))/2+(IF(ISNUMBER(G28),G28,0)/2),0))</f>
        <v>0</v>
      </c>
      <c r="I28" s="58"/>
      <c r="J28" s="64" t="s">
        <v>59</v>
      </c>
      <c r="K28" s="65">
        <f>TRUNC((((J$6-IF(ISNUMBER(J28),J28,0))*100)/J$6),0)</f>
        <v>100</v>
      </c>
    </row>
    <row r="29" spans="1:27" customHeight="1" ht="14.4">
      <c r="A29" s="29">
        <v>22</v>
      </c>
      <c r="B29" s="30"/>
      <c r="C29" s="31"/>
      <c r="D29" s="32"/>
      <c r="E29" s="33" t="s">
        <v>59</v>
      </c>
      <c r="F29" s="33" t="s">
        <v>59</v>
      </c>
      <c r="G29" s="34" t="s">
        <v>59</v>
      </c>
      <c r="H29" s="35">
        <f>IF(K29&lt;85,"No%",TRUNC((IF(ISNUMBER(E29),E29,0)+IF(ISNUMBER(F29),F29,0))/IF(COUNT(D29:D29)=0,1,COUNT(D29:D29))/2+(IF(ISNUMBER(G29),G29,0)/2),0))</f>
        <v>0</v>
      </c>
      <c r="I29" s="61"/>
      <c r="J29" s="62" t="s">
        <v>59</v>
      </c>
      <c r="K29" s="63">
        <f>TRUNC((((J$6-IF(ISNUMBER(J29),J29,0))*100)/J$6),0)</f>
        <v>100</v>
      </c>
    </row>
    <row r="30" spans="1:27" customHeight="1" ht="14.4">
      <c r="A30" s="36">
        <v>23</v>
      </c>
      <c r="B30" s="37"/>
      <c r="C30" s="38"/>
      <c r="D30" s="39"/>
      <c r="E30" s="40" t="s">
        <v>59</v>
      </c>
      <c r="F30" s="40" t="s">
        <v>59</v>
      </c>
      <c r="G30" s="41" t="s">
        <v>59</v>
      </c>
      <c r="H30" s="42">
        <f>IF(K30&lt;85,"No%",TRUNC((IF(ISNUMBER(E30),E30,0)+IF(ISNUMBER(F30),F30,0))/IF(COUNT(D30:D30)=0,1,COUNT(D30:D30))/2+(IF(ISNUMBER(G30),G30,0)/2),0))</f>
        <v>0</v>
      </c>
      <c r="I30" s="58"/>
      <c r="J30" s="64" t="s">
        <v>59</v>
      </c>
      <c r="K30" s="65">
        <f>TRUNC((((J$6-IF(ISNUMBER(J30),J30,0))*100)/J$6),0)</f>
        <v>100</v>
      </c>
    </row>
    <row r="31" spans="1:27" customHeight="1" ht="14.4">
      <c r="A31" s="29">
        <v>24</v>
      </c>
      <c r="B31" s="30"/>
      <c r="C31" s="31"/>
      <c r="D31" s="32"/>
      <c r="E31" s="33" t="s">
        <v>59</v>
      </c>
      <c r="F31" s="33" t="s">
        <v>59</v>
      </c>
      <c r="G31" s="34" t="s">
        <v>59</v>
      </c>
      <c r="H31" s="35">
        <f>IF(K31&lt;85,"No%",TRUNC((IF(ISNUMBER(E31),E31,0)+IF(ISNUMBER(F31),F31,0))/IF(COUNT(D31:D31)=0,1,COUNT(D31:D31))/2+(IF(ISNUMBER(G31),G31,0)/2),0))</f>
        <v>0</v>
      </c>
      <c r="I31" s="61"/>
      <c r="J31" s="62" t="s">
        <v>59</v>
      </c>
      <c r="K31" s="63">
        <f>TRUNC((((J$6-IF(ISNUMBER(J31),J31,0))*100)/J$6),0)</f>
        <v>100</v>
      </c>
    </row>
    <row r="32" spans="1:27" customHeight="1" ht="14.4">
      <c r="A32" s="36">
        <v>25</v>
      </c>
      <c r="B32" s="37"/>
      <c r="C32" s="38"/>
      <c r="D32" s="39"/>
      <c r="E32" s="40" t="s">
        <v>59</v>
      </c>
      <c r="F32" s="40" t="s">
        <v>59</v>
      </c>
      <c r="G32" s="41" t="s">
        <v>59</v>
      </c>
      <c r="H32" s="42">
        <f>IF(K32&lt;85,"No%",TRUNC((IF(ISNUMBER(E32),E32,0)+IF(ISNUMBER(F32),F32,0))/IF(COUNT(D32:D32)=0,1,COUNT(D32:D32))/2+(IF(ISNUMBER(G32),G32,0)/2),0))</f>
        <v>0</v>
      </c>
      <c r="I32" s="58"/>
      <c r="J32" s="64" t="s">
        <v>59</v>
      </c>
      <c r="K32" s="65">
        <f>TRUNC((((J$6-IF(ISNUMBER(J32),J32,0))*100)/J$6),0)</f>
        <v>100</v>
      </c>
    </row>
    <row r="33" spans="1:27" customHeight="1" ht="14.4">
      <c r="A33" s="29">
        <v>26</v>
      </c>
      <c r="B33" s="30"/>
      <c r="C33" s="31"/>
      <c r="D33" s="32"/>
      <c r="E33" s="33" t="s">
        <v>59</v>
      </c>
      <c r="F33" s="33" t="s">
        <v>59</v>
      </c>
      <c r="G33" s="34" t="s">
        <v>59</v>
      </c>
      <c r="H33" s="35">
        <f>IF(K33&lt;85,"No%",TRUNC((IF(ISNUMBER(E33),E33,0)+IF(ISNUMBER(F33),F33,0))/IF(COUNT(D33:D33)=0,1,COUNT(D33:D33))/2+(IF(ISNUMBER(G33),G33,0)/2),0))</f>
        <v>0</v>
      </c>
      <c r="I33" s="61"/>
      <c r="J33" s="62" t="s">
        <v>59</v>
      </c>
      <c r="K33" s="63">
        <f>TRUNC((((J$6-IF(ISNUMBER(J33),J33,0))*100)/J$6),0)</f>
        <v>100</v>
      </c>
    </row>
    <row r="34" spans="1:27" customHeight="1" ht="14.4">
      <c r="A34" s="36">
        <v>27</v>
      </c>
      <c r="B34" s="37"/>
      <c r="C34" s="38"/>
      <c r="D34" s="39"/>
      <c r="E34" s="40" t="s">
        <v>59</v>
      </c>
      <c r="F34" s="40" t="s">
        <v>59</v>
      </c>
      <c r="G34" s="41" t="s">
        <v>59</v>
      </c>
      <c r="H34" s="42">
        <f>IF(K34&lt;85,"No%",TRUNC((IF(ISNUMBER(E34),E34,0)+IF(ISNUMBER(F34),F34,0))/IF(COUNT(D34:D34)=0,1,COUNT(D34:D34))/2+(IF(ISNUMBER(G34),G34,0)/2),0))</f>
        <v>0</v>
      </c>
      <c r="I34" s="58"/>
      <c r="J34" s="64" t="s">
        <v>59</v>
      </c>
      <c r="K34" s="65">
        <f>TRUNC((((J$6-IF(ISNUMBER(J34),J34,0))*100)/J$6),0)</f>
        <v>100</v>
      </c>
    </row>
    <row r="35" spans="1:27" customHeight="1" ht="14.4">
      <c r="A35" s="29">
        <v>28</v>
      </c>
      <c r="B35" s="30"/>
      <c r="C35" s="31"/>
      <c r="D35" s="32"/>
      <c r="E35" s="33" t="s">
        <v>59</v>
      </c>
      <c r="F35" s="33" t="s">
        <v>59</v>
      </c>
      <c r="G35" s="34" t="s">
        <v>59</v>
      </c>
      <c r="H35" s="35">
        <f>IF(K35&lt;85,"No%",TRUNC((IF(ISNUMBER(E35),E35,0)+IF(ISNUMBER(F35),F35,0))/IF(COUNT(D35:D35)=0,1,COUNT(D35:D35))/2+(IF(ISNUMBER(G35),G35,0)/2),0))</f>
        <v>0</v>
      </c>
      <c r="I35" s="61"/>
      <c r="J35" s="62" t="s">
        <v>59</v>
      </c>
      <c r="K35" s="63">
        <f>TRUNC((((J$6-IF(ISNUMBER(J35),J35,0))*100)/J$6),0)</f>
        <v>100</v>
      </c>
    </row>
    <row r="36" spans="1:27" customHeight="1" ht="14.4">
      <c r="A36" s="36">
        <v>29</v>
      </c>
      <c r="B36" s="37"/>
      <c r="C36" s="38"/>
      <c r="D36" s="39"/>
      <c r="E36" s="40" t="s">
        <v>59</v>
      </c>
      <c r="F36" s="40" t="s">
        <v>59</v>
      </c>
      <c r="G36" s="41" t="s">
        <v>59</v>
      </c>
      <c r="H36" s="42">
        <f>IF(K36&lt;85,"No%",TRUNC((IF(ISNUMBER(E36),E36,0)+IF(ISNUMBER(F36),F36,0))/IF(COUNT(D36:D36)=0,1,COUNT(D36:D36))/2+(IF(ISNUMBER(G36),G36,0)/2),0))</f>
        <v>0</v>
      </c>
      <c r="I36" s="58"/>
      <c r="J36" s="64"/>
      <c r="K36" s="65">
        <f>TRUNC((((J$6-IF(ISNUMBER(J36),J36,0))*100)/J$6),0)</f>
        <v>100</v>
      </c>
    </row>
    <row r="37" spans="1:27" customHeight="1" ht="15.15">
      <c r="A37" s="43">
        <v>30</v>
      </c>
      <c r="B37" s="44"/>
      <c r="C37" s="45"/>
      <c r="D37" s="46"/>
      <c r="E37" s="47" t="s">
        <v>59</v>
      </c>
      <c r="F37" s="47" t="s">
        <v>59</v>
      </c>
      <c r="G37" s="48" t="s">
        <v>59</v>
      </c>
      <c r="H37" s="49">
        <f>IF(K37&lt;85,"No%",TRUNC((IF(ISNUMBER(E37),E37,0)+IF(ISNUMBER(F37),F37,0))/IF(COUNT(D37:D37)=0,1,COUNT(D37:D37))/2+(IF(ISNUMBER(G37),G37,0)/2),0))</f>
        <v>0</v>
      </c>
      <c r="I37" s="61"/>
      <c r="J37" s="66"/>
      <c r="K37" s="67">
        <f>TRUNC((((J$6-IF(ISNUMBER(J37),J37,0))*100)/J$6),0)</f>
        <v>100</v>
      </c>
    </row>
    <row r="38" spans="1:27" customHeight="1" ht="14.4">
      <c r="D38" t="s">
        <v>60</v>
      </c>
      <c r="E38" s="50">
        <v>5</v>
      </c>
      <c r="F38" s="50">
        <v>5</v>
      </c>
      <c r="G38" s="50">
        <v>5</v>
      </c>
      <c r="H38" s="50"/>
      <c r="I38" s="68"/>
      <c r="J38" s="50">
        <v>0.0</v>
      </c>
      <c r="K38" s="50"/>
    </row>
    <row r="39" spans="1:27" customHeight="1" ht="14.4">
      <c r="D39" t="s">
        <v>61</v>
      </c>
      <c r="E39" s="50">
        <v>10</v>
      </c>
      <c r="F39" s="50">
        <v>10</v>
      </c>
      <c r="G39" s="50">
        <v>10</v>
      </c>
      <c r="H39" s="50"/>
      <c r="I39" s="68"/>
      <c r="J39" s="50">
        <v>72</v>
      </c>
      <c r="K39" s="50"/>
    </row>
    <row r="40" spans="1:27" customHeight="1" ht="14.4">
      <c r="C40" s="51"/>
      <c r="D40" s="51"/>
    </row>
  </sheetData>
  <sheetProtection password="C623" sheet="true" objects="true" scenarios="tru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C1:K1"/>
    <mergeCell ref="D2:K2"/>
    <mergeCell ref="D3:K3"/>
    <mergeCell ref="D4:K4"/>
    <mergeCell ref="D5:K5"/>
    <mergeCell ref="G6:I6"/>
  </mergeCells>
  <dataValidations count="125">
    <dataValidation type="decimal" errorStyle="stop" operator="between" allowBlank="1" showDropDown="0" showInputMessage="0" showErrorMessage="1" errorTitle="Alerta" error="Valor Fuera de Rango" sqref="E28">
      <formula1>A11</formula1>
      <formula2>A12</formula2>
    </dataValidation>
    <dataValidation type="decimal" errorStyle="stop" operator="between" allowBlank="1" showDropDown="0" showInputMessage="0" showErrorMessage="1" errorTitle="Alerta" error="Valor Fuera de Rango" sqref="E22">
      <formula1>A17</formula1>
      <formula2>A18</formula2>
    </dataValidation>
    <dataValidation type="decimal" errorStyle="stop" operator="between" allowBlank="1" showDropDown="0" showInputMessage="0" showErrorMessage="1" errorTitle="Alerta" error="Valor Fuera de Rango" sqref="E34">
      <formula1>A5</formula1>
      <formula2>A6</formula2>
    </dataValidation>
    <dataValidation type="decimal" errorStyle="stop" operator="between" allowBlank="1" showDropDown="0" showInputMessage="0" showErrorMessage="1" errorTitle="Alerta" error="Valor Fuera de Rango" sqref="E16">
      <formula1>A23</formula1>
      <formula2>A24</formula2>
    </dataValidation>
    <dataValidation type="decimal" errorStyle="stop" operator="between" allowBlank="1" showDropDown="0" showInputMessage="0" showErrorMessage="1" errorTitle="Alerta" error="Valor Fuera de Rango" sqref="E32">
      <formula1>A7</formula1>
      <formula2>A8</formula2>
    </dataValidation>
    <dataValidation type="decimal" errorStyle="stop" operator="between" allowBlank="1" showDropDown="0" showInputMessage="0" showErrorMessage="1" errorTitle="Alerta" error="Valor Fuera de Rango" sqref="E36">
      <formula1>A3</formula1>
      <formula2>A4</formula2>
    </dataValidation>
    <dataValidation type="decimal" errorStyle="stop" operator="between" allowBlank="1" showDropDown="0" showInputMessage="0" showErrorMessage="1" errorTitle="Alerta" error="Valor Fuera de Rango" sqref="E17">
      <formula1>A22</formula1>
      <formula2>A23</formula2>
    </dataValidation>
    <dataValidation type="decimal" errorStyle="stop" operator="between" allowBlank="1" showDropDown="0" showInputMessage="0" showErrorMessage="1" errorTitle="Alerta" error="Valor Fuera de Rango" sqref="E9">
      <formula1>A30</formula1>
      <formula2>A31</formula2>
    </dataValidation>
    <dataValidation type="decimal" errorStyle="stop" operator="between" allowBlank="1" showDropDown="0" showInputMessage="0" showErrorMessage="1" errorTitle="Alerta" error="Valor Fuera de Rango" sqref="E37">
      <formula1>A2</formula1>
      <formula2>A3</formula2>
    </dataValidation>
    <dataValidation type="decimal" errorStyle="stop" operator="between" allowBlank="1" showDropDown="0" showInputMessage="0" showErrorMessage="1" errorTitle="Alerta" error="Valor Fuera de Rango" sqref="E31">
      <formula1>A8</formula1>
      <formula2>A9</formula2>
    </dataValidation>
    <dataValidation type="decimal" errorStyle="stop" operator="between" allowBlank="1" showDropDown="0" showInputMessage="0" showErrorMessage="1" errorTitle="Alerta" error="Valor Fuera de Rango" sqref="E20">
      <formula1>A19</formula1>
      <formula2>A20</formula2>
    </dataValidation>
    <dataValidation type="decimal" errorStyle="stop" operator="between" allowBlank="1" showDropDown="0" showInputMessage="0" showErrorMessage="1" errorTitle="Alerta" error="Valor Fuera de Rango" sqref="E13">
      <formula1>A26</formula1>
      <formula2>A27</formula2>
    </dataValidation>
    <dataValidation type="decimal" errorStyle="stop" operator="between" allowBlank="1" showDropDown="0" showInputMessage="0" showErrorMessage="1" errorTitle="Alerta" error="Valor Fuera de Rango" sqref="E15">
      <formula1>A24</formula1>
      <formula2>A25</formula2>
    </dataValidation>
    <dataValidation type="decimal" errorStyle="stop" operator="between" allowBlank="1" showDropDown="0" showInputMessage="0" showErrorMessage="1" errorTitle="Alerta" error="Valor Fuera de Rango" sqref="E30">
      <formula1>A9</formula1>
      <formula2>A10</formula2>
    </dataValidation>
    <dataValidation type="decimal" errorStyle="stop" operator="between" allowBlank="1" showDropDown="0" showInputMessage="0" showErrorMessage="1" errorTitle="Alerta" error="Valor Fuera de Rango" sqref="E12">
      <formula1>A27</formula1>
      <formula2>A28</formula2>
    </dataValidation>
    <dataValidation type="decimal" errorStyle="stop" operator="between" allowBlank="1" showDropDown="0" showInputMessage="0" showErrorMessage="1" errorTitle="Alerta" error="Valor Fuera de Rango" sqref="E18">
      <formula1>A21</formula1>
      <formula2>A22</formula2>
    </dataValidation>
    <dataValidation type="decimal" errorStyle="stop" operator="between" allowBlank="1" showDropDown="0" showInputMessage="0" showErrorMessage="1" errorTitle="Alerta" error="Valor Fuera de Rango" sqref="E33">
      <formula1>A6</formula1>
      <formula2>A7</formula2>
    </dataValidation>
    <dataValidation type="decimal" errorStyle="stop" operator="between" allowBlank="1" showDropDown="0" showInputMessage="0" showErrorMessage="1" errorTitle="Alerta" error="Valor Fuera de Rango" sqref="E8">
      <formula1>A31</formula1>
      <formula2>A32</formula2>
    </dataValidation>
    <dataValidation type="decimal" errorStyle="stop" operator="between" allowBlank="1" showDropDown="0" showInputMessage="0" showErrorMessage="1" errorTitle="Alerta" error="Valor Fuera de Rango" sqref="E11">
      <formula1>A28</formula1>
      <formula2>A29</formula2>
    </dataValidation>
    <dataValidation type="decimal" errorStyle="stop" operator="between" allowBlank="1" showDropDown="0" showInputMessage="0" showErrorMessage="1" errorTitle="Alerta" error="Valor Fuera de Rango" sqref="E29">
      <formula1>A10</formula1>
      <formula2>A11</formula2>
    </dataValidation>
    <dataValidation type="decimal" errorStyle="stop" operator="between" allowBlank="1" showDropDown="0" showInputMessage="0" showErrorMessage="1" errorTitle="Alerta" error="Valor Fuera de Rango" sqref="E19">
      <formula1>A20</formula1>
      <formula2>A21</formula2>
    </dataValidation>
    <dataValidation type="decimal" errorStyle="stop" operator="between" allowBlank="1" showDropDown="0" showInputMessage="0" showErrorMessage="1" errorTitle="Alerta" error="Valor Fuera de Rango" sqref="E23">
      <formula1>A16</formula1>
      <formula2>A17</formula2>
    </dataValidation>
    <dataValidation type="decimal" errorStyle="stop" operator="between" allowBlank="1" showDropDown="0" showInputMessage="0" showErrorMessage="1" errorTitle="Alerta" error="Valor Fuera de Rango" sqref="E21">
      <formula1>A18</formula1>
      <formula2>A19</formula2>
    </dataValidation>
    <dataValidation type="decimal" errorStyle="stop" operator="between" allowBlank="1" showDropDown="0" showInputMessage="0" showErrorMessage="1" errorTitle="Alerta" error="Valor Fuera de Rango" sqref="E25">
      <formula1>A14</formula1>
      <formula2>A15</formula2>
    </dataValidation>
    <dataValidation type="decimal" errorStyle="stop" operator="between" allowBlank="1" showDropDown="0" showInputMessage="0" showErrorMessage="1" errorTitle="Alerta" error="Valor Fuera de Rango" sqref="E26">
      <formula1>A13</formula1>
      <formula2>A14</formula2>
    </dataValidation>
    <dataValidation type="decimal" errorStyle="stop" operator="between" allowBlank="1" showDropDown="0" showInputMessage="0" showErrorMessage="1" errorTitle="Alerta" error="Valor Fuera de Rango" sqref="E10">
      <formula1>A29</formula1>
      <formula2>A30</formula2>
    </dataValidation>
    <dataValidation type="decimal" errorStyle="stop" operator="between" allowBlank="1" showDropDown="0" showInputMessage="0" showErrorMessage="1" errorTitle="Alerta" error="Valor Fuera de Rango" sqref="E27">
      <formula1>A12</formula1>
      <formula2>A13</formula2>
    </dataValidation>
    <dataValidation type="decimal" errorStyle="stop" operator="between" allowBlank="1" showDropDown="0" showInputMessage="0" showErrorMessage="1" errorTitle="Alerta" error="Valor Fuera de Rango" sqref="E14">
      <formula1>A25</formula1>
      <formula2>A26</formula2>
    </dataValidation>
    <dataValidation type="decimal" errorStyle="stop" operator="between" allowBlank="1" showDropDown="0" showInputMessage="0" showErrorMessage="1" errorTitle="Alerta" error="Valor Fuera de Rango" sqref="E24">
      <formula1>A15</formula1>
      <formula2>A16</formula2>
    </dataValidation>
    <dataValidation type="decimal" errorStyle="stop" operator="between" allowBlank="1" showDropDown="0" showInputMessage="0" showErrorMessage="1" errorTitle="Alerta" error="Valor Fuera de Rango" sqref="E35">
      <formula1>A4</formula1>
      <formula2>A5</formula2>
    </dataValidation>
    <dataValidation type="decimal" errorStyle="stop" operator="between" allowBlank="1" showDropDown="0" showInputMessage="0" showErrorMessage="1" errorTitle="Alerta" error="Valor Fuera de Rango" sqref="F28">
      <formula1>A11</formula1>
      <formula2>A12</formula2>
    </dataValidation>
    <dataValidation type="decimal" errorStyle="stop" operator="between" allowBlank="1" showDropDown="0" showInputMessage="0" showErrorMessage="1" errorTitle="Alerta" error="Valor Fuera de Rango" sqref="F22">
      <formula1>A17</formula1>
      <formula2>A18</formula2>
    </dataValidation>
    <dataValidation type="decimal" errorStyle="stop" operator="between" allowBlank="1" showDropDown="0" showInputMessage="0" showErrorMessage="1" errorTitle="Alerta" error="Valor Fuera de Rango" sqref="F34">
      <formula1>A5</formula1>
      <formula2>A6</formula2>
    </dataValidation>
    <dataValidation type="decimal" errorStyle="stop" operator="between" allowBlank="1" showDropDown="0" showInputMessage="0" showErrorMessage="1" errorTitle="Alerta" error="Valor Fuera de Rango" sqref="F16">
      <formula1>A23</formula1>
      <formula2>A24</formula2>
    </dataValidation>
    <dataValidation type="decimal" errorStyle="stop" operator="between" allowBlank="1" showDropDown="0" showInputMessage="0" showErrorMessage="1" errorTitle="Alerta" error="Valor Fuera de Rango" sqref="F32">
      <formula1>A7</formula1>
      <formula2>A8</formula2>
    </dataValidation>
    <dataValidation type="decimal" errorStyle="stop" operator="between" allowBlank="1" showDropDown="0" showInputMessage="0" showErrorMessage="1" errorTitle="Alerta" error="Valor Fuera de Rango" sqref="F36">
      <formula1>A3</formula1>
      <formula2>A4</formula2>
    </dataValidation>
    <dataValidation type="decimal" errorStyle="stop" operator="between" allowBlank="1" showDropDown="0" showInputMessage="0" showErrorMessage="1" errorTitle="Alerta" error="Valor Fuera de Rango" sqref="F17">
      <formula1>A22</formula1>
      <formula2>A23</formula2>
    </dataValidation>
    <dataValidation type="decimal" errorStyle="stop" operator="between" allowBlank="1" showDropDown="0" showInputMessage="0" showErrorMessage="1" errorTitle="Alerta" error="Valor Fuera de Rango" sqref="F9">
      <formula1>A30</formula1>
      <formula2>A31</formula2>
    </dataValidation>
    <dataValidation type="decimal" errorStyle="stop" operator="between" allowBlank="1" showDropDown="0" showInputMessage="0" showErrorMessage="1" errorTitle="Alerta" error="Valor Fuera de Rango" sqref="F37">
      <formula1>A2</formula1>
      <formula2>A3</formula2>
    </dataValidation>
    <dataValidation type="decimal" errorStyle="stop" operator="between" allowBlank="1" showDropDown="0" showInputMessage="0" showErrorMessage="1" errorTitle="Alerta" error="Valor Fuera de Rango" sqref="F31">
      <formula1>A8</formula1>
      <formula2>A9</formula2>
    </dataValidation>
    <dataValidation type="decimal" errorStyle="stop" operator="between" allowBlank="1" showDropDown="0" showInputMessage="0" showErrorMessage="1" errorTitle="Alerta" error="Valor Fuera de Rango" sqref="F20">
      <formula1>A19</formula1>
      <formula2>A20</formula2>
    </dataValidation>
    <dataValidation type="decimal" errorStyle="stop" operator="between" allowBlank="1" showDropDown="0" showInputMessage="0" showErrorMessage="1" errorTitle="Alerta" error="Valor Fuera de Rango" sqref="F13">
      <formula1>A26</formula1>
      <formula2>A27</formula2>
    </dataValidation>
    <dataValidation type="decimal" errorStyle="stop" operator="between" allowBlank="1" showDropDown="0" showInputMessage="0" showErrorMessage="1" errorTitle="Alerta" error="Valor Fuera de Rango" sqref="F15">
      <formula1>A24</formula1>
      <formula2>A25</formula2>
    </dataValidation>
    <dataValidation type="decimal" errorStyle="stop" operator="between" allowBlank="1" showDropDown="0" showInputMessage="0" showErrorMessage="1" errorTitle="Alerta" error="Valor Fuera de Rango" sqref="F30">
      <formula1>A9</formula1>
      <formula2>A10</formula2>
    </dataValidation>
    <dataValidation type="decimal" errorStyle="stop" operator="between" allowBlank="1" showDropDown="0" showInputMessage="0" showErrorMessage="1" errorTitle="Alerta" error="Valor Fuera de Rango" sqref="F12">
      <formula1>A27</formula1>
      <formula2>A28</formula2>
    </dataValidation>
    <dataValidation type="decimal" errorStyle="stop" operator="between" allowBlank="1" showDropDown="0" showInputMessage="0" showErrorMessage="1" errorTitle="Alerta" error="Valor Fuera de Rango" sqref="F18">
      <formula1>A21</formula1>
      <formula2>A22</formula2>
    </dataValidation>
    <dataValidation type="decimal" errorStyle="stop" operator="between" allowBlank="1" showDropDown="0" showInputMessage="0" showErrorMessage="1" errorTitle="Alerta" error="Valor Fuera de Rango" sqref="F33">
      <formula1>A6</formula1>
      <formula2>A7</formula2>
    </dataValidation>
    <dataValidation type="decimal" errorStyle="stop" operator="between" allowBlank="1" showDropDown="0" showInputMessage="0" showErrorMessage="1" errorTitle="Alerta" error="Valor Fuera de Rango" sqref="F8">
      <formula1>A31</formula1>
      <formula2>A32</formula2>
    </dataValidation>
    <dataValidation type="decimal" errorStyle="stop" operator="between" allowBlank="1" showDropDown="0" showInputMessage="0" showErrorMessage="1" errorTitle="Alerta" error="Valor Fuera de Rango" sqref="F11">
      <formula1>A28</formula1>
      <formula2>A29</formula2>
    </dataValidation>
    <dataValidation type="decimal" errorStyle="stop" operator="between" allowBlank="1" showDropDown="0" showInputMessage="0" showErrorMessage="1" errorTitle="Alerta" error="Valor Fuera de Rango" sqref="F29">
      <formula1>A10</formula1>
      <formula2>A11</formula2>
    </dataValidation>
    <dataValidation type="decimal" errorStyle="stop" operator="between" allowBlank="1" showDropDown="0" showInputMessage="0" showErrorMessage="1" errorTitle="Alerta" error="Valor Fuera de Rango" sqref="F19">
      <formula1>A20</formula1>
      <formula2>A21</formula2>
    </dataValidation>
    <dataValidation type="decimal" errorStyle="stop" operator="between" allowBlank="1" showDropDown="0" showInputMessage="0" showErrorMessage="1" errorTitle="Alerta" error="Valor Fuera de Rango" sqref="F23">
      <formula1>A16</formula1>
      <formula2>A17</formula2>
    </dataValidation>
    <dataValidation type="decimal" errorStyle="stop" operator="between" allowBlank="1" showDropDown="0" showInputMessage="0" showErrorMessage="1" errorTitle="Alerta" error="Valor Fuera de Rango" sqref="F21">
      <formula1>A18</formula1>
      <formula2>A19</formula2>
    </dataValidation>
    <dataValidation type="decimal" errorStyle="stop" operator="between" allowBlank="1" showDropDown="0" showInputMessage="0" showErrorMessage="1" errorTitle="Alerta" error="Valor Fuera de Rango" sqref="F25">
      <formula1>A14</formula1>
      <formula2>A15</formula2>
    </dataValidation>
    <dataValidation type="decimal" errorStyle="stop" operator="between" allowBlank="1" showDropDown="0" showInputMessage="0" showErrorMessage="1" errorTitle="Alerta" error="Valor Fuera de Rango" sqref="F26">
      <formula1>A13</formula1>
      <formula2>A14</formula2>
    </dataValidation>
    <dataValidation type="decimal" errorStyle="stop" operator="between" allowBlank="1" showDropDown="0" showInputMessage="0" showErrorMessage="1" errorTitle="Alerta" error="Valor Fuera de Rango" sqref="F10">
      <formula1>A29</formula1>
      <formula2>A30</formula2>
    </dataValidation>
    <dataValidation type="decimal" errorStyle="stop" operator="between" allowBlank="1" showDropDown="0" showInputMessage="0" showErrorMessage="1" errorTitle="Alerta" error="Valor Fuera de Rango" sqref="F27">
      <formula1>A12</formula1>
      <formula2>A13</formula2>
    </dataValidation>
    <dataValidation type="decimal" errorStyle="stop" operator="between" allowBlank="1" showDropDown="0" showInputMessage="0" showErrorMessage="1" errorTitle="Alerta" error="Valor Fuera de Rango" sqref="F14">
      <formula1>A25</formula1>
      <formula2>A26</formula2>
    </dataValidation>
    <dataValidation type="decimal" errorStyle="stop" operator="between" allowBlank="1" showDropDown="0" showInputMessage="0" showErrorMessage="1" errorTitle="Alerta" error="Valor Fuera de Rango" sqref="F24">
      <formula1>A15</formula1>
      <formula2>A16</formula2>
    </dataValidation>
    <dataValidation type="decimal" errorStyle="stop" operator="between" allowBlank="1" showDropDown="0" showInputMessage="0" showErrorMessage="1" errorTitle="Alerta" error="Valor Fuera de Rango" sqref="F35">
      <formula1>A4</formula1>
      <formula2>A5</formula2>
    </dataValidation>
    <dataValidation type="decimal" errorStyle="stop" operator="between" allowBlank="1" showDropDown="0" showInputMessage="0" showErrorMessage="1" errorTitle="Alerta" error="Valor Fuera de Rango" sqref="G28">
      <formula1>A11</formula1>
      <formula2>A12</formula2>
    </dataValidation>
    <dataValidation type="decimal" errorStyle="stop" operator="between" allowBlank="1" showDropDown="0" showInputMessage="0" showErrorMessage="1" errorTitle="Alerta" error="Valor Fuera de Rango" sqref="G22">
      <formula1>A17</formula1>
      <formula2>A18</formula2>
    </dataValidation>
    <dataValidation type="decimal" errorStyle="stop" operator="between" allowBlank="1" showDropDown="0" showInputMessage="0" showErrorMessage="1" errorTitle="Alerta" error="Valor Fuera de Rango" sqref="G34">
      <formula1>A5</formula1>
      <formula2>A6</formula2>
    </dataValidation>
    <dataValidation type="decimal" errorStyle="stop" operator="between" allowBlank="1" showDropDown="0" showInputMessage="0" showErrorMessage="1" errorTitle="Alerta" error="Valor Fuera de Rango" sqref="G16">
      <formula1>A23</formula1>
      <formula2>A24</formula2>
    </dataValidation>
    <dataValidation type="decimal" errorStyle="stop" operator="between" allowBlank="1" showDropDown="0" showInputMessage="0" showErrorMessage="1" errorTitle="Alerta" error="Valor Fuera de Rango" sqref="G32">
      <formula1>A7</formula1>
      <formula2>A8</formula2>
    </dataValidation>
    <dataValidation type="decimal" errorStyle="stop" operator="between" allowBlank="1" showDropDown="0" showInputMessage="0" showErrorMessage="1" errorTitle="Alerta" error="Valor Fuera de Rango" sqref="G36">
      <formula1>A3</formula1>
      <formula2>A4</formula2>
    </dataValidation>
    <dataValidation type="decimal" errorStyle="stop" operator="between" allowBlank="1" showDropDown="0" showInputMessage="0" showErrorMessage="1" errorTitle="Alerta" error="Valor Fuera de Rango" sqref="G17">
      <formula1>A22</formula1>
      <formula2>A23</formula2>
    </dataValidation>
    <dataValidation type="decimal" errorStyle="stop" operator="between" allowBlank="1" showDropDown="0" showInputMessage="0" showErrorMessage="1" errorTitle="Alerta" error="Valor Fuera de Rango" sqref="G9">
      <formula1>A30</formula1>
      <formula2>A31</formula2>
    </dataValidation>
    <dataValidation type="decimal" errorStyle="stop" operator="between" allowBlank="1" showDropDown="0" showInputMessage="0" showErrorMessage="1" errorTitle="Alerta" error="Valor Fuera de Rango" sqref="G37">
      <formula1>A2</formula1>
      <formula2>A3</formula2>
    </dataValidation>
    <dataValidation type="decimal" errorStyle="stop" operator="between" allowBlank="1" showDropDown="0" showInputMessage="0" showErrorMessage="1" errorTitle="Alerta" error="Valor Fuera de Rango" sqref="G31">
      <formula1>A8</formula1>
      <formula2>A9</formula2>
    </dataValidation>
    <dataValidation type="decimal" errorStyle="stop" operator="between" allowBlank="1" showDropDown="0" showInputMessage="0" showErrorMessage="1" errorTitle="Alerta" error="Valor Fuera de Rango" sqref="G20">
      <formula1>A19</formula1>
      <formula2>A20</formula2>
    </dataValidation>
    <dataValidation type="decimal" errorStyle="stop" operator="between" allowBlank="1" showDropDown="0" showInputMessage="0" showErrorMessage="1" errorTitle="Alerta" error="Valor Fuera de Rango" sqref="G13">
      <formula1>A26</formula1>
      <formula2>A27</formula2>
    </dataValidation>
    <dataValidation type="decimal" errorStyle="stop" operator="between" allowBlank="1" showDropDown="0" showInputMessage="0" showErrorMessage="1" errorTitle="Alerta" error="Valor Fuera de Rango" sqref="G15">
      <formula1>A24</formula1>
      <formula2>A25</formula2>
    </dataValidation>
    <dataValidation type="decimal" errorStyle="stop" operator="between" allowBlank="1" showDropDown="0" showInputMessage="0" showErrorMessage="1" errorTitle="Alerta" error="Valor Fuera de Rango" sqref="G30">
      <formula1>A9</formula1>
      <formula2>A10</formula2>
    </dataValidation>
    <dataValidation type="decimal" errorStyle="stop" operator="between" allowBlank="1" showDropDown="0" showInputMessage="0" showErrorMessage="1" errorTitle="Alerta" error="Valor Fuera de Rango" sqref="G12">
      <formula1>A27</formula1>
      <formula2>A28</formula2>
    </dataValidation>
    <dataValidation type="decimal" errorStyle="stop" operator="between" allowBlank="1" showDropDown="0" showInputMessage="0" showErrorMessage="1" errorTitle="Alerta" error="Valor Fuera de Rango" sqref="G18">
      <formula1>A21</formula1>
      <formula2>A22</formula2>
    </dataValidation>
    <dataValidation type="decimal" errorStyle="stop" operator="between" allowBlank="1" showDropDown="0" showInputMessage="0" showErrorMessage="1" errorTitle="Alerta" error="Valor Fuera de Rango" sqref="G33">
      <formula1>A6</formula1>
      <formula2>A7</formula2>
    </dataValidation>
    <dataValidation type="decimal" errorStyle="stop" operator="between" allowBlank="1" showDropDown="0" showInputMessage="0" showErrorMessage="1" errorTitle="Alerta" error="Valor Fuera de Rango" sqref="G8">
      <formula1>A31</formula1>
      <formula2>A32</formula2>
    </dataValidation>
    <dataValidation type="decimal" errorStyle="stop" operator="between" allowBlank="1" showDropDown="0" showInputMessage="0" showErrorMessage="1" errorTitle="Alerta" error="Valor Fuera de Rango" sqref="G11">
      <formula1>A28</formula1>
      <formula2>A29</formula2>
    </dataValidation>
    <dataValidation type="decimal" errorStyle="stop" operator="between" allowBlank="1" showDropDown="0" showInputMessage="0" showErrorMessage="1" errorTitle="Alerta" error="Valor Fuera de Rango" sqref="G29">
      <formula1>A10</formula1>
      <formula2>A11</formula2>
    </dataValidation>
    <dataValidation type="decimal" errorStyle="stop" operator="between" allowBlank="1" showDropDown="0" showInputMessage="0" showErrorMessage="1" errorTitle="Alerta" error="Valor Fuera de Rango" sqref="G19">
      <formula1>A20</formula1>
      <formula2>A21</formula2>
    </dataValidation>
    <dataValidation type="decimal" errorStyle="stop" operator="between" allowBlank="1" showDropDown="0" showInputMessage="0" showErrorMessage="1" errorTitle="Alerta" error="Valor Fuera de Rango" sqref="G23">
      <formula1>A16</formula1>
      <formula2>A17</formula2>
    </dataValidation>
    <dataValidation type="decimal" errorStyle="stop" operator="between" allowBlank="1" showDropDown="0" showInputMessage="0" showErrorMessage="1" errorTitle="Alerta" error="Valor Fuera de Rango" sqref="G21">
      <formula1>A18</formula1>
      <formula2>A19</formula2>
    </dataValidation>
    <dataValidation type="decimal" errorStyle="stop" operator="between" allowBlank="1" showDropDown="0" showInputMessage="0" showErrorMessage="1" errorTitle="Alerta" error="Valor Fuera de Rango" sqref="G25">
      <formula1>A14</formula1>
      <formula2>A15</formula2>
    </dataValidation>
    <dataValidation type="decimal" errorStyle="stop" operator="between" allowBlank="1" showDropDown="0" showInputMessage="0" showErrorMessage="1" errorTitle="Alerta" error="Valor Fuera de Rango" sqref="G26">
      <formula1>A13</formula1>
      <formula2>A14</formula2>
    </dataValidation>
    <dataValidation type="decimal" errorStyle="stop" operator="between" allowBlank="1" showDropDown="0" showInputMessage="0" showErrorMessage="1" errorTitle="Alerta" error="Valor Fuera de Rango" sqref="G10">
      <formula1>A29</formula1>
      <formula2>A30</formula2>
    </dataValidation>
    <dataValidation type="decimal" errorStyle="stop" operator="between" allowBlank="1" showDropDown="0" showInputMessage="0" showErrorMessage="1" errorTitle="Alerta" error="Valor Fuera de Rango" sqref="G27">
      <formula1>A12</formula1>
      <formula2>A13</formula2>
    </dataValidation>
    <dataValidation type="decimal" errorStyle="stop" operator="between" allowBlank="1" showDropDown="0" showInputMessage="0" showErrorMessage="1" errorTitle="Alerta" error="Valor Fuera de Rango" sqref="G14">
      <formula1>A25</formula1>
      <formula2>A26</formula2>
    </dataValidation>
    <dataValidation type="decimal" errorStyle="stop" operator="between" allowBlank="1" showDropDown="0" showInputMessage="0" showErrorMessage="1" errorTitle="Alerta" error="Valor Fuera de Rango" sqref="G24">
      <formula1>A15</formula1>
      <formula2>A16</formula2>
    </dataValidation>
    <dataValidation type="decimal" errorStyle="stop" operator="between" allowBlank="1" showDropDown="0" showInputMessage="0" showErrorMessage="1" errorTitle="Alerta" error="Valor Fuera de Rango" sqref="G35">
      <formula1>A4</formula1>
      <formula2>A5</formula2>
    </dataValidation>
    <dataValidation type="decimal" errorStyle="stop" operator="between" allowBlank="1" showDropDown="0" showInputMessage="0" showErrorMessage="0" errorTitle="Alerta" error="Valor Fuera de Rango" sqref="H8:H37">
      <formula1>A31</formula1>
      <formula2>A32</formula2>
    </dataValidation>
    <dataValidation type="decimal" errorStyle="stop" operator="between" allowBlank="1" showDropDown="0" showInputMessage="0" showErrorMessage="0" errorTitle="Alerta" error="Valor Fuera de Rango" sqref="I8">
      <formula1>A31</formula1>
      <formula2>A32</formula2>
    </dataValidation>
    <dataValidation type="decimal" errorStyle="stop" operator="between" allowBlank="1" showDropDown="0" showInputMessage="0" showErrorMessage="0" errorTitle="Alerta" error="Valor Fuera de Rango" sqref="I15:I37">
      <formula1>A26</formula1>
      <formula2>A27</formula2>
    </dataValidation>
    <dataValidation type="decimal" errorStyle="stop" operator="between" allowBlank="1" showDropDown="0" showInputMessage="0" showErrorMessage="1" errorTitle="Alerta" error="Valor Fuera de Rango" sqref="J28">
      <formula1>A11</formula1>
      <formula2>A12</formula2>
    </dataValidation>
    <dataValidation type="decimal" errorStyle="stop" operator="between" allowBlank="1" showDropDown="0" showInputMessage="0" showErrorMessage="1" errorTitle="Alerta" error="Valor Fuera de Rango" sqref="J22">
      <formula1>A17</formula1>
      <formula2>A18</formula2>
    </dataValidation>
    <dataValidation type="decimal" errorStyle="stop" operator="between" allowBlank="1" showDropDown="0" showInputMessage="0" showErrorMessage="1" errorTitle="Alerta" error="Valor Fuera de Rango" sqref="J34">
      <formula1>A5</formula1>
      <formula2>A6</formula2>
    </dataValidation>
    <dataValidation type="decimal" errorStyle="stop" operator="between" allowBlank="1" showDropDown="0" showInputMessage="0" showErrorMessage="1" errorTitle="Alerta" error="Valor Fuera de Rango" sqref="J16">
      <formula1>A23</formula1>
      <formula2>A24</formula2>
    </dataValidation>
    <dataValidation type="decimal" errorStyle="stop" operator="between" allowBlank="1" showDropDown="0" showInputMessage="0" showErrorMessage="1" errorTitle="Alerta" error="Valor Fuera de Rango" sqref="J32">
      <formula1>A7</formula1>
      <formula2>A8</formula2>
    </dataValidation>
    <dataValidation type="decimal" errorStyle="stop" operator="between" allowBlank="1" showDropDown="0" showInputMessage="0" showErrorMessage="1" errorTitle="Alerta" error="Valor Fuera de Rango" sqref="J36">
      <formula1>A3</formula1>
      <formula2>A4</formula2>
    </dataValidation>
    <dataValidation type="decimal" errorStyle="stop" operator="between" allowBlank="1" showDropDown="0" showInputMessage="0" showErrorMessage="1" errorTitle="Alerta" error="Valor Fuera de Rango" sqref="J17">
      <formula1>A22</formula1>
      <formula2>A23</formula2>
    </dataValidation>
    <dataValidation type="decimal" errorStyle="stop" operator="between" allowBlank="1" showDropDown="0" showInputMessage="0" showErrorMessage="1" errorTitle="Alerta" error="Valor Fuera de Rango" sqref="J9">
      <formula1>A30</formula1>
      <formula2>A31</formula2>
    </dataValidation>
    <dataValidation type="decimal" errorStyle="stop" operator="between" allowBlank="1" showDropDown="0" showInputMessage="0" showErrorMessage="1" errorTitle="Alerta" error="Valor Fuera de Rango" sqref="J37">
      <formula1>A2</formula1>
      <formula2>A3</formula2>
    </dataValidation>
    <dataValidation type="decimal" errorStyle="stop" operator="between" allowBlank="1" showDropDown="0" showInputMessage="0" showErrorMessage="1" errorTitle="Alerta" error="Valor Fuera de Rango" sqref="J31">
      <formula1>A8</formula1>
      <formula2>A9</formula2>
    </dataValidation>
    <dataValidation type="decimal" errorStyle="stop" operator="between" allowBlank="1" showDropDown="0" showInputMessage="0" showErrorMessage="1" errorTitle="Alerta" error="Valor Fuera de Rango" sqref="J20">
      <formula1>A19</formula1>
      <formula2>A20</formula2>
    </dataValidation>
    <dataValidation type="decimal" errorStyle="stop" operator="between" allowBlank="1" showDropDown="0" showInputMessage="0" showErrorMessage="1" errorTitle="Alerta" error="Valor Fuera de Rango" sqref="J13">
      <formula1>A26</formula1>
      <formula2>A27</formula2>
    </dataValidation>
    <dataValidation type="decimal" errorStyle="stop" operator="between" allowBlank="1" showDropDown="0" showInputMessage="0" showErrorMessage="1" errorTitle="Alerta" error="Valor Fuera de Rango" sqref="J15">
      <formula1>A24</formula1>
      <formula2>A25</formula2>
    </dataValidation>
    <dataValidation type="decimal" errorStyle="stop" operator="between" allowBlank="1" showDropDown="0" showInputMessage="0" showErrorMessage="1" errorTitle="Alerta" error="Valor Fuera de Rango" sqref="J30">
      <formula1>A9</formula1>
      <formula2>A10</formula2>
    </dataValidation>
    <dataValidation type="decimal" errorStyle="stop" operator="between" allowBlank="1" showDropDown="0" showInputMessage="0" showErrorMessage="1" errorTitle="Alerta" error="Valor Fuera de Rango" sqref="J12">
      <formula1>A27</formula1>
      <formula2>A28</formula2>
    </dataValidation>
    <dataValidation type="decimal" errorStyle="stop" operator="between" allowBlank="1" showDropDown="0" showInputMessage="0" showErrorMessage="1" errorTitle="Alerta" error="Valor Fuera de Rango" sqref="J18">
      <formula1>A21</formula1>
      <formula2>A22</formula2>
    </dataValidation>
    <dataValidation type="decimal" errorStyle="stop" operator="between" allowBlank="1" showDropDown="0" showInputMessage="0" showErrorMessage="1" errorTitle="Alerta" error="Valor Fuera de Rango" sqref="J33">
      <formula1>A6</formula1>
      <formula2>A7</formula2>
    </dataValidation>
    <dataValidation type="decimal" errorStyle="stop" operator="between" allowBlank="1" showDropDown="0" showInputMessage="0" showErrorMessage="1" errorTitle="Alerta" error="Valor Fuera de Rango" sqref="J8">
      <formula1>A31</formula1>
      <formula2>A32</formula2>
    </dataValidation>
    <dataValidation type="decimal" errorStyle="stop" operator="between" allowBlank="1" showDropDown="0" showInputMessage="0" showErrorMessage="1" errorTitle="Alerta" error="Valor Fuera de Rango" sqref="J11">
      <formula1>A28</formula1>
      <formula2>A29</formula2>
    </dataValidation>
    <dataValidation type="decimal" errorStyle="stop" operator="between" allowBlank="1" showDropDown="0" showInputMessage="0" showErrorMessage="1" errorTitle="Alerta" error="Valor Fuera de Rango" sqref="J29">
      <formula1>A10</formula1>
      <formula2>A11</formula2>
    </dataValidation>
    <dataValidation type="decimal" errorStyle="stop" operator="between" allowBlank="1" showDropDown="0" showInputMessage="0" showErrorMessage="1" errorTitle="Alerta" error="Valor Fuera de Rango" sqref="J19">
      <formula1>A20</formula1>
      <formula2>A21</formula2>
    </dataValidation>
    <dataValidation type="decimal" errorStyle="stop" operator="between" allowBlank="1" showDropDown="0" showInputMessage="0" showErrorMessage="1" errorTitle="Alerta" error="Valor Fuera de Rango" sqref="J23">
      <formula1>A16</formula1>
      <formula2>A17</formula2>
    </dataValidation>
    <dataValidation type="decimal" errorStyle="stop" operator="between" allowBlank="1" showDropDown="0" showInputMessage="0" showErrorMessage="1" errorTitle="Alerta" error="Valor Fuera de Rango" sqref="J21">
      <formula1>A18</formula1>
      <formula2>A19</formula2>
    </dataValidation>
    <dataValidation type="decimal" errorStyle="stop" operator="between" allowBlank="1" showDropDown="0" showInputMessage="0" showErrorMessage="1" errorTitle="Alerta" error="Valor Fuera de Rango" sqref="J25">
      <formula1>A14</formula1>
      <formula2>A15</formula2>
    </dataValidation>
    <dataValidation type="decimal" errorStyle="stop" operator="between" allowBlank="1" showDropDown="0" showInputMessage="0" showErrorMessage="1" errorTitle="Alerta" error="Valor Fuera de Rango" sqref="J26">
      <formula1>A13</formula1>
      <formula2>A14</formula2>
    </dataValidation>
    <dataValidation type="decimal" errorStyle="stop" operator="between" allowBlank="1" showDropDown="0" showInputMessage="0" showErrorMessage="1" errorTitle="Alerta" error="Valor Fuera de Rango" sqref="J10">
      <formula1>A29</formula1>
      <formula2>A30</formula2>
    </dataValidation>
    <dataValidation type="decimal" errorStyle="stop" operator="between" allowBlank="1" showDropDown="0" showInputMessage="0" showErrorMessage="1" errorTitle="Alerta" error="Valor Fuera de Rango" sqref="J27">
      <formula1>A12</formula1>
      <formula2>A13</formula2>
    </dataValidation>
    <dataValidation type="decimal" errorStyle="stop" operator="between" allowBlank="1" showDropDown="0" showInputMessage="0" showErrorMessage="1" errorTitle="Alerta" error="Valor Fuera de Rango" sqref="J14">
      <formula1>A25</formula1>
      <formula2>A26</formula2>
    </dataValidation>
    <dataValidation type="decimal" errorStyle="stop" operator="between" allowBlank="1" showDropDown="0" showInputMessage="0" showErrorMessage="1" errorTitle="Alerta" error="Valor Fuera de Rango" sqref="J24">
      <formula1>A15</formula1>
      <formula2>A16</formula2>
    </dataValidation>
    <dataValidation type="decimal" errorStyle="stop" operator="between" allowBlank="1" showDropDown="0" showInputMessage="0" showErrorMessage="1" errorTitle="Alerta" error="Valor Fuera de Rango" sqref="J35">
      <formula1>A4</formula1>
      <formula2>A5</formula2>
    </dataValidation>
    <dataValidation type="whole" errorStyle="stop" operator="between" allowBlank="1" showDropDown="0" showInputMessage="1" showErrorMessage="1" errorTitle="Total Horas Clase" error="Valor fuera de rango" promptTitle="Total Horas Clase" prompt="Proporcionar el total de horas clase" sqref="J6">
      <formula1>A33</formula1>
      <formula2>A34</formula2>
    </dataValidation>
    <dataValidation type="decimal" errorStyle="stop" operator="between" allowBlank="1" showDropDown="0" showInputMessage="0" showErrorMessage="1" errorTitle="Alerta" error="Valor Fuera de Rango" sqref="K8">
      <formula1>A31</formula1>
      <formula2>A32</formula2>
    </dataValidation>
  </dataValidations>
  <printOptions gridLines="false" gridLinesSet="true"/>
  <pageMargins left="0.19685039370079" right="0.19685039370079" top="0.35433070866142" bottom="0.35433070866142" header="0.19685039370079" footer="0.1574803149606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4.4" outlineLevelRow="0" outlineLevelCol="0"/>
  <sheetData/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LEE2226</vt:lpstr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2011-12-29T05:14:53+02:00</dcterms:created>
  <dcterms:modified xsi:type="dcterms:W3CDTF">2025-07-18T00:07:43+03:00</dcterms:modified>
  <dc:title>Untitled Spreadsheet</dc:title>
  <dc:description/>
  <dc:subject/>
  <cp:keywords/>
  <cp:category/>
</cp:coreProperties>
</file>