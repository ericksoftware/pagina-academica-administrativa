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2226" sheetId="1" state="visible" r:id="rId1"/>
    <sheet xmlns:r="http://schemas.openxmlformats.org/officeDocument/2006/relationships" name="Hoja1" sheetId="2" state="visible" r:id="rId2"/>
  </sheets>
  <definedNames/>
  <calcPr calcId="999999" calcMode="auto" fullCalcOnLoad="1" calcCompleted="1" forceFullCalc="1"/>
</workbook>
</file>

<file path=xl/styles.xml><?xml version="1.0" encoding="utf-8"?>
<styleSheet xmlns="http://schemas.openxmlformats.org/spreadsheetml/2006/main">
  <numFmts count="0"/>
  <fonts count="8">
    <font>
      <name val="Calibri"/>
      <strike val="0"/>
      <color rgb="FF000000"/>
      <sz val="11"/>
    </font>
    <font>
      <name val="Arial"/>
      <b val="1"/>
      <strike val="0"/>
      <color rgb="FF000000"/>
      <sz val="11"/>
    </font>
    <font>
      <name val="Arial"/>
      <strike val="0"/>
      <color rgb="FF000000"/>
      <sz val="10"/>
    </font>
    <font>
      <name val="Calibri"/>
      <strike val="0"/>
      <color rgb="FF000000"/>
      <sz val="9"/>
    </font>
    <font>
      <name val="Arial"/>
      <b val="1"/>
      <strike val="0"/>
      <color rgb="FF000000"/>
      <sz val="9"/>
    </font>
    <font>
      <name val="Arial"/>
      <strike val="0"/>
      <color rgb="FF000000"/>
      <sz val="9"/>
    </font>
    <font>
      <name val="Arial"/>
      <strike val="0"/>
      <color rgb="FF000000"/>
      <sz val="8"/>
    </font>
    <font>
      <name val="Arial"/>
      <b val="1"/>
      <strike val="0"/>
      <color rgb="FF000000"/>
      <sz val="8"/>
    </font>
  </fonts>
  <fills count="6">
    <fill>
      <patternFill/>
    </fill>
    <fill>
      <patternFill patternType="gray125">
        <fgColor rgb="FFFF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FFD966"/>
        <bgColor rgb="FF000000"/>
      </patternFill>
    </fill>
  </fills>
  <borders count="27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7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general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general" vertical="bottom"/>
    </xf>
    <xf numFmtId="0" fontId="4" fillId="2" borderId="2" applyAlignment="1" pivotButton="0" quotePrefix="0" xfId="0">
      <alignment horizontal="general" vertical="bottom"/>
    </xf>
    <xf numFmtId="0" fontId="4" fillId="2" borderId="2" applyAlignment="1" pivotButton="0" quotePrefix="0" xfId="0">
      <alignment horizontal="center" vertical="bottom"/>
    </xf>
    <xf numFmtId="0" fontId="7" fillId="3" borderId="2" applyAlignment="1" pivotButton="0" quotePrefix="0" xfId="0">
      <alignment horizontal="center" vertical="bottom" textRotation="90" wrapText="1"/>
    </xf>
    <xf numFmtId="0" fontId="7" fillId="2" borderId="2" applyAlignment="1" pivotButton="0" quotePrefix="0" xfId="0">
      <alignment horizontal="center" vertical="bottom" textRotation="90" wrapText="1"/>
    </xf>
    <xf numFmtId="0" fontId="7" fillId="4" borderId="3" applyAlignment="1" pivotButton="0" quotePrefix="0" xfId="0">
      <alignment horizontal="center" vertical="bottom" textRotation="90" wrapText="1"/>
    </xf>
    <xf numFmtId="0" fontId="4" fillId="2" borderId="4" applyAlignment="1" pivotButton="0" quotePrefix="0" xfId="0">
      <alignment horizontal="center" vertical="center" textRotation="90" wrapText="1"/>
    </xf>
    <xf numFmtId="0" fontId="2" fillId="0" borderId="5" applyAlignment="1" pivotButton="0" quotePrefix="0" xfId="0">
      <alignment horizontal="general" vertical="bottom"/>
    </xf>
    <xf numFmtId="0" fontId="2" fillId="0" borderId="6" applyAlignment="1" pivotButton="0" quotePrefix="0" xfId="0">
      <alignment horizontal="center" vertical="bottom"/>
    </xf>
    <xf numFmtId="49" fontId="2" fillId="0" borderId="6" applyAlignment="1" pivotButton="0" quotePrefix="0" xfId="0">
      <alignment horizontal="center" vertical="bottom"/>
    </xf>
    <xf numFmtId="0" fontId="2" fillId="2" borderId="7" applyAlignment="1" pivotButton="0" quotePrefix="0" xfId="0">
      <alignment horizontal="general" vertical="bottom"/>
    </xf>
    <xf numFmtId="3" fontId="2" fillId="0" borderId="7" applyAlignment="1" applyProtection="1" pivotButton="0" quotePrefix="0" xfId="0">
      <alignment horizontal="center" vertical="bottom"/>
      <protection locked="0" hidden="0"/>
    </xf>
    <xf numFmtId="3" fontId="2" fillId="0" borderId="8" applyAlignment="1" applyProtection="1" pivotButton="0" quotePrefix="0" xfId="0">
      <alignment horizontal="center" vertical="bottom"/>
      <protection locked="0" hidden="0"/>
    </xf>
    <xf numFmtId="3" fontId="2" fillId="0" borderId="9" applyAlignment="1" applyProtection="1" pivotButton="0" quotePrefix="0" xfId="0">
      <alignment horizontal="center" vertical="bottom"/>
      <protection locked="0" hidden="0"/>
    </xf>
    <xf numFmtId="0" fontId="2" fillId="2" borderId="10" applyAlignment="1" pivotButton="0" quotePrefix="0" xfId="0">
      <alignment horizontal="general" vertical="bottom"/>
    </xf>
    <xf numFmtId="0" fontId="2" fillId="2" borderId="11" applyAlignment="1" pivotButton="0" quotePrefix="0" xfId="0">
      <alignment horizontal="center" vertical="bottom"/>
    </xf>
    <xf numFmtId="49" fontId="2" fillId="2" borderId="11" applyAlignment="1" pivotButton="0" quotePrefix="0" xfId="0">
      <alignment horizontal="center" vertical="bottom"/>
    </xf>
    <xf numFmtId="0" fontId="2" fillId="2" borderId="12" applyAlignment="1" pivotButton="0" quotePrefix="0" xfId="0">
      <alignment horizontal="general" vertical="bottom"/>
    </xf>
    <xf numFmtId="3" fontId="2" fillId="2" borderId="13" applyAlignment="1" applyProtection="1" pivotButton="0" quotePrefix="0" xfId="0">
      <alignment horizontal="center" vertical="bottom"/>
      <protection locked="0" hidden="0"/>
    </xf>
    <xf numFmtId="3" fontId="2" fillId="2" borderId="14" applyAlignment="1" applyProtection="1" pivotButton="0" quotePrefix="0" xfId="0">
      <alignment horizontal="center" vertical="bottom"/>
      <protection locked="0" hidden="0"/>
    </xf>
    <xf numFmtId="3" fontId="2" fillId="2" borderId="15" applyAlignment="1" applyProtection="1" pivotButton="0" quotePrefix="0" xfId="0">
      <alignment horizontal="center" vertical="bottom"/>
      <protection locked="0" hidden="0"/>
    </xf>
    <xf numFmtId="0" fontId="2" fillId="0" borderId="10" applyAlignment="1" pivotButton="0" quotePrefix="0" xfId="0">
      <alignment horizontal="general" vertical="bottom"/>
    </xf>
    <xf numFmtId="0" fontId="2" fillId="0" borderId="11" applyAlignment="1" pivotButton="0" quotePrefix="0" xfId="0">
      <alignment horizontal="center" vertical="bottom"/>
    </xf>
    <xf numFmtId="49" fontId="2" fillId="0" borderId="11" applyAlignment="1" pivotButton="0" quotePrefix="0" xfId="0">
      <alignment horizontal="center" vertical="bottom"/>
    </xf>
    <xf numFmtId="0" fontId="2" fillId="2" borderId="12" applyAlignment="1" pivotButton="0" quotePrefix="0" xfId="0">
      <alignment horizontal="general" vertical="bottom"/>
    </xf>
    <xf numFmtId="3" fontId="2" fillId="0" borderId="13" applyAlignment="1" applyProtection="1" pivotButton="0" quotePrefix="0" xfId="0">
      <alignment horizontal="center" vertical="bottom"/>
      <protection locked="0" hidden="0"/>
    </xf>
    <xf numFmtId="3" fontId="2" fillId="0" borderId="14" applyAlignment="1" applyProtection="1" pivotButton="0" quotePrefix="0" xfId="0">
      <alignment horizontal="center" vertical="bottom"/>
      <protection locked="0" hidden="0"/>
    </xf>
    <xf numFmtId="3" fontId="2" fillId="0" borderId="15" applyAlignment="1" applyProtection="1" pivotButton="0" quotePrefix="0" xfId="0">
      <alignment horizontal="center" vertical="bottom"/>
      <protection locked="0" hidden="0"/>
    </xf>
    <xf numFmtId="0" fontId="2" fillId="2" borderId="16" applyAlignment="1" pivotButton="0" quotePrefix="0" xfId="0">
      <alignment horizontal="general" vertical="bottom"/>
    </xf>
    <xf numFmtId="0" fontId="2" fillId="2" borderId="17" applyAlignment="1" pivotButton="0" quotePrefix="0" xfId="0">
      <alignment horizontal="center" vertical="bottom"/>
    </xf>
    <xf numFmtId="49" fontId="2" fillId="2" borderId="17" applyAlignment="1" pivotButton="0" quotePrefix="0" xfId="0">
      <alignment horizontal="center" vertical="bottom"/>
    </xf>
    <xf numFmtId="0" fontId="2" fillId="2" borderId="18" applyAlignment="1" pivotButton="0" quotePrefix="0" xfId="0">
      <alignment horizontal="general" vertical="bottom"/>
    </xf>
    <xf numFmtId="3" fontId="2" fillId="2" borderId="19" applyAlignment="1" applyProtection="1" pivotButton="0" quotePrefix="0" xfId="0">
      <alignment horizontal="center" vertical="bottom"/>
      <protection locked="0" hidden="0"/>
    </xf>
    <xf numFmtId="3" fontId="2" fillId="2" borderId="20" applyAlignment="1" applyProtection="1" pivotButton="0" quotePrefix="0" xfId="0">
      <alignment horizontal="center" vertical="bottom"/>
      <protection locked="0" hidden="0"/>
    </xf>
    <xf numFmtId="3" fontId="2" fillId="2" borderId="21" applyAlignment="1" applyProtection="1" pivotButton="0" quotePrefix="0" xfId="0">
      <alignment horizontal="center" vertical="bottom"/>
      <protection locked="0" hidden="0"/>
    </xf>
    <xf numFmtId="0" fontId="0" fillId="0" borderId="0" applyAlignment="1" pivotButton="0" quotePrefix="0" xfId="0">
      <alignment horizontal="center" vertical="center"/>
    </xf>
    <xf numFmtId="0" fontId="0" fillId="0" borderId="0" applyAlignment="1" applyProtection="1" pivotButton="0" quotePrefix="0" xfId="0">
      <alignment horizontal="general" vertical="bottom"/>
      <protection locked="1" hidden="1"/>
    </xf>
    <xf numFmtId="0" fontId="4" fillId="0" borderId="4" applyAlignment="1" applyProtection="1" pivotButton="0" quotePrefix="0" xfId="0">
      <alignment horizontal="center" vertical="center"/>
      <protection locked="0" hidden="0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bottom" textRotation="90" wrapText="1"/>
    </xf>
    <xf numFmtId="0" fontId="7" fillId="5" borderId="22" applyAlignment="1" pivotButton="0" quotePrefix="0" xfId="0">
      <alignment horizontal="center" vertical="bottom" textRotation="90"/>
    </xf>
    <xf numFmtId="0" fontId="7" fillId="2" borderId="23" applyAlignment="1" pivotButton="0" quotePrefix="0" xfId="0">
      <alignment horizontal="center" vertical="bottom" textRotation="90" wrapText="1"/>
    </xf>
    <xf numFmtId="1" fontId="2" fillId="0" borderId="0" applyAlignment="1" pivotButton="0" quotePrefix="0" xfId="0">
      <alignment horizontal="center" vertical="bottom"/>
    </xf>
    <xf numFmtId="1" fontId="2" fillId="0" borderId="5" applyAlignment="1" applyProtection="1" pivotButton="0" quotePrefix="0" xfId="0">
      <alignment horizontal="center" vertical="bottom"/>
      <protection locked="0" hidden="0"/>
    </xf>
    <xf numFmtId="1" fontId="2" fillId="0" borderId="24" applyAlignment="1" pivotButton="0" quotePrefix="0" xfId="0">
      <alignment horizontal="center" vertical="bottom"/>
    </xf>
    <xf numFmtId="1" fontId="2" fillId="2" borderId="0" applyAlignment="1" pivotButton="0" quotePrefix="0" xfId="0">
      <alignment horizontal="center" vertical="bottom"/>
    </xf>
    <xf numFmtId="1" fontId="2" fillId="2" borderId="10" applyAlignment="1" applyProtection="1" pivotButton="0" quotePrefix="0" xfId="0">
      <alignment horizontal="center" vertical="bottom"/>
      <protection locked="0" hidden="0"/>
    </xf>
    <xf numFmtId="1" fontId="2" fillId="2" borderId="25" applyAlignment="1" pivotButton="0" quotePrefix="0" xfId="0">
      <alignment horizontal="center" vertical="bottom"/>
    </xf>
    <xf numFmtId="1" fontId="2" fillId="0" borderId="10" applyAlignment="1" applyProtection="1" pivotButton="0" quotePrefix="0" xfId="0">
      <alignment horizontal="center" vertical="bottom"/>
      <protection locked="0" hidden="0"/>
    </xf>
    <xf numFmtId="1" fontId="2" fillId="0" borderId="25" applyAlignment="1" pivotButton="0" quotePrefix="0" xfId="0">
      <alignment horizontal="center" vertical="bottom"/>
    </xf>
    <xf numFmtId="3" fontId="2" fillId="2" borderId="16" applyAlignment="1" applyProtection="1" pivotButton="0" quotePrefix="0" xfId="0">
      <alignment horizontal="center" vertical="bottom"/>
      <protection locked="0" hidden="0"/>
    </xf>
    <xf numFmtId="3" fontId="2" fillId="2" borderId="26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showGridLines="1" showRowColHeaders="1" tabSelected="1" workbookViewId="0">
      <selection activeCell="O12" sqref="O12"/>
    </sheetView>
  </sheetViews>
  <sheetFormatPr baseColWidth="8" defaultRowHeight="14.4" customHeight="1" outlineLevelRow="0"/>
  <cols>
    <col width="2.7109375" customWidth="1" style="3" min="1" max="1"/>
    <col width="8.13671875" customWidth="1" style="4" min="2" max="2"/>
    <col width="17" customWidth="1" style="4" min="3" max="3"/>
    <col width="45.13671875" customWidth="1" style="3" min="4" max="4"/>
    <col width="4.5703125" customWidth="1" style="3" min="5" max="5"/>
    <col width="4.5703125" customWidth="1" style="3" min="6" max="6"/>
    <col width="4.5703125" customWidth="1" style="3" min="7" max="7"/>
    <col width="6.28515625" customWidth="1" style="3" min="8" max="8"/>
    <col width="1.7109375" customWidth="1" style="3" min="9" max="9"/>
    <col width="4.28515625" customWidth="1" style="3" min="10" max="10"/>
    <col width="4.28515625" customWidth="1" style="3" min="11" max="11"/>
    <col width="3.13671875" customWidth="1" style="3" min="12" max="12"/>
    <col width="6" customWidth="1" style="3" min="13" max="13"/>
    <col width="6" customWidth="1" style="3" min="14" max="14"/>
    <col width="6" customWidth="1" style="3" min="15" max="15"/>
    <col width="6" customWidth="1" style="3" min="16" max="16"/>
    <col width="6" customWidth="1" style="3" min="17" max="17"/>
    <col width="6" customWidth="1" style="3" min="18" max="18"/>
    <col width="6" customWidth="1" style="3" min="19" max="19"/>
    <col width="6" customWidth="1" style="3" min="20" max="20"/>
    <col width="6" customWidth="1" style="3" min="21" max="21"/>
    <col width="6" customWidth="1" style="3" min="22" max="22"/>
    <col width="6" customWidth="1" style="3" min="23" max="23"/>
    <col width="6" customWidth="1" style="3" min="24" max="24"/>
    <col width="6" customWidth="1" style="3" min="25" max="25"/>
    <col width="6" customWidth="1" style="3" min="26" max="26"/>
    <col width="6" customWidth="1" style="3" min="27" max="27"/>
  </cols>
  <sheetData>
    <row r="1" ht="18" customHeight="1" s="69">
      <c r="A1" s="3" t="n"/>
      <c r="B1" s="4" t="n"/>
      <c r="C1" s="5" t="inlineStr">
        <is>
          <t>Benemérita Escuela Normal Urbana Nocturna del Estado Ing. José G. Valenzuela</t>
        </is>
      </c>
    </row>
    <row r="2" ht="14.45" customHeight="1" s="69">
      <c r="A2" s="3" t="n"/>
      <c r="B2" s="4" t="n"/>
      <c r="C2" s="6" t="inlineStr">
        <is>
          <t>CICLO ESCOLAR</t>
        </is>
      </c>
      <c r="D2" s="7" t="inlineStr">
        <is>
          <t>2025-2026</t>
        </is>
      </c>
    </row>
    <row r="3" ht="14.45" customHeight="1" s="69">
      <c r="A3" s="3" t="n"/>
      <c r="B3" s="4" t="n"/>
      <c r="C3" s="6" t="inlineStr">
        <is>
          <t>LI2026</t>
        </is>
      </c>
      <c r="D3" s="7" t="inlineStr">
        <is>
          <t>Licenciatura en Idiomas</t>
        </is>
      </c>
    </row>
    <row r="4" ht="14.45" customHeight="1" s="69">
      <c r="A4" s="3" t="n"/>
      <c r="B4" s="4" t="n"/>
      <c r="C4" s="7" t="inlineStr">
        <is>
          <t>LI2604</t>
        </is>
      </c>
      <c r="D4" s="7" t="inlineStr">
        <is>
          <t>Morfosintaxis Española</t>
        </is>
      </c>
    </row>
    <row r="5" ht="14.45" customHeight="1" s="69">
      <c r="A5" s="3" t="n"/>
      <c r="B5" s="4" t="n"/>
      <c r="C5" s="7" t="inlineStr">
        <is>
          <t>27</t>
        </is>
      </c>
      <c r="D5" s="7" t="inlineStr">
        <is>
          <t>JOSUE PEREZ</t>
        </is>
      </c>
    </row>
    <row r="6" ht="14.45" customHeight="1" s="69">
      <c r="A6" s="8" t="n"/>
      <c r="B6" s="9" t="inlineStr">
        <is>
          <t>SEMESTRE</t>
        </is>
      </c>
      <c r="C6" s="11" t="n">
        <v>2</v>
      </c>
      <c r="D6" s="11" t="inlineStr">
        <is>
          <t>VESPERTINO</t>
        </is>
      </c>
      <c r="E6" s="12" t="inlineStr">
        <is>
          <t>V</t>
        </is>
      </c>
      <c r="F6" s="13" t="n"/>
      <c r="G6" s="14" t="inlineStr">
        <is>
          <t>TOTAL HORAS</t>
        </is>
      </c>
      <c r="J6" s="52" t="n">
        <v>64</v>
      </c>
      <c r="K6" s="53" t="n"/>
      <c r="L6" s="54" t="n"/>
    </row>
    <row r="7" ht="85.15000000000001" customHeight="1" s="69">
      <c r="A7" s="15" t="n"/>
      <c r="B7" s="16" t="inlineStr">
        <is>
          <t>CODIGO</t>
        </is>
      </c>
      <c r="C7" s="17" t="inlineStr">
        <is>
          <t>MATRICULA</t>
        </is>
      </c>
      <c r="D7" s="16" t="inlineStr">
        <is>
          <t>NOMBRE DEL ALUMNO</t>
        </is>
      </c>
      <c r="E7" s="18" t="inlineStr">
        <is>
          <t>UNIDAD 1</t>
        </is>
      </c>
      <c r="F7" s="19" t="inlineStr">
        <is>
          <t>UNIDAD 2</t>
        </is>
      </c>
      <c r="G7" s="20" t="inlineStr">
        <is>
          <t>EVIDENCIA FINAL</t>
        </is>
      </c>
      <c r="H7" s="21" t="inlineStr">
        <is>
          <t>EVALUACIÓN GLOBAL</t>
        </is>
      </c>
      <c r="I7" s="55" t="n"/>
      <c r="J7" s="56" t="inlineStr">
        <is>
          <t>INASISTENCIAS</t>
        </is>
      </c>
      <c r="K7" s="57" t="inlineStr">
        <is>
          <t>% INASISTENCIAS</t>
        </is>
      </c>
    </row>
    <row r="8" ht="14.4" customHeight="1" s="69">
      <c r="A8" s="22" t="n">
        <v>1</v>
      </c>
      <c r="B8" s="23" t="n">
        <v>4</v>
      </c>
      <c r="C8" s="24" t="inlineStr">
        <is>
          <t>2347234823</t>
        </is>
      </c>
      <c r="D8" s="25" t="inlineStr">
        <is>
          <t>SAMIADA PEREZ LOPEZ</t>
        </is>
      </c>
      <c r="E8" s="26" t="n">
        <v>6</v>
      </c>
      <c r="F8" s="26" t="n">
        <v>6</v>
      </c>
      <c r="G8" s="27" t="n">
        <v>6</v>
      </c>
      <c r="H8" s="28">
        <f>IF(K8&lt;85,"No%",TRUNC((IF(ISNUMBER(E8),E8,0)+IF(ISNUMBER(F8),F8,0))/IF(COUNT(D8:F8)=0,1,COUNT(D8:F8))/2+(IF(ISNUMBER(G8),G8,0)/2),0))</f>
        <v/>
      </c>
      <c r="I8" s="58" t="n"/>
      <c r="J8" s="59" t="n">
        <v>40</v>
      </c>
      <c r="K8" s="60">
        <f>TRUNC((((J$6-IF(ISNUMBER(J8),J8,0))*100)/J$6),0)</f>
        <v/>
      </c>
    </row>
    <row r="9" ht="14.4" customHeight="1" s="69">
      <c r="A9" s="29" t="n">
        <v>2</v>
      </c>
      <c r="B9" s="30" t="n"/>
      <c r="C9" s="31" t="n"/>
      <c r="D9" s="39" t="n"/>
      <c r="E9" s="33" t="n"/>
      <c r="F9" s="33" t="n"/>
      <c r="G9" s="34" t="n"/>
      <c r="H9" s="35">
        <f>IF(K9&lt;85,"No%",TRUNC((IF(ISNUMBER(E9),E9,0)+IF(ISNUMBER(F9),F9,0))/IF(COUNT(D9:F9)=0,1,COUNT(D9:F9))/2+(IF(ISNUMBER(G9),G9,0)/2),0))</f>
        <v/>
      </c>
      <c r="I9" s="61" t="n"/>
      <c r="J9" s="62" t="n"/>
      <c r="K9" s="63">
        <f>TRUNC((((J$6-IF(ISNUMBER(J9),J9,0))*100)/J$6),0)</f>
        <v/>
      </c>
    </row>
    <row r="10" ht="14.4" customHeight="1" s="69">
      <c r="A10" s="36" t="n">
        <v>3</v>
      </c>
      <c r="B10" s="37" t="n"/>
      <c r="C10" s="38" t="n"/>
      <c r="D10" s="39" t="n"/>
      <c r="E10" s="40" t="n"/>
      <c r="F10" s="40" t="n"/>
      <c r="G10" s="41" t="n"/>
      <c r="H10" s="42">
        <f>IF(K10&lt;85,"No%",TRUNC((IF(ISNUMBER(E10),E10,0)+IF(ISNUMBER(F10),F10,0))/IF(COUNT(D10:F10)=0,1,COUNT(D10:F10))/2+(IF(ISNUMBER(G10),G10,0)/2),0))</f>
        <v/>
      </c>
      <c r="I10" s="58" t="n"/>
      <c r="J10" s="64" t="n"/>
      <c r="K10" s="65">
        <f>TRUNC((((J$6-IF(ISNUMBER(J10),J10,0))*100)/J$6),0)</f>
        <v/>
      </c>
    </row>
    <row r="11" ht="14.4" customHeight="1" s="69">
      <c r="A11" s="29" t="n">
        <v>4</v>
      </c>
      <c r="B11" s="30" t="n"/>
      <c r="C11" s="31" t="n"/>
      <c r="D11" s="39" t="n"/>
      <c r="E11" s="33" t="n"/>
      <c r="F11" s="33" t="n"/>
      <c r="G11" s="34" t="n"/>
      <c r="H11" s="35">
        <f>IF(K11&lt;85,"No%",TRUNC((IF(ISNUMBER(E11),E11,0)+IF(ISNUMBER(F11),F11,0))/IF(COUNT(D11:F11)=0,1,COUNT(D11:F11))/2+(IF(ISNUMBER(G11),G11,0)/2),0))</f>
        <v/>
      </c>
      <c r="I11" s="61" t="n"/>
      <c r="J11" s="62" t="n"/>
      <c r="K11" s="63">
        <f>TRUNC((((J$6-IF(ISNUMBER(J11),J11,0))*100)/J$6),0)</f>
        <v/>
      </c>
    </row>
    <row r="12" ht="14.4" customHeight="1" s="69">
      <c r="A12" s="36" t="n">
        <v>5</v>
      </c>
      <c r="B12" s="37" t="n"/>
      <c r="C12" s="38" t="n"/>
      <c r="D12" s="39" t="n"/>
      <c r="E12" s="40" t="n"/>
      <c r="F12" s="40" t="n"/>
      <c r="G12" s="41" t="n"/>
      <c r="H12" s="42">
        <f>IF(K12&lt;85,"No%",TRUNC((IF(ISNUMBER(E12),E12,0)+IF(ISNUMBER(F12),F12,0))/IF(COUNT(D12:F12)=0,1,COUNT(D12:F12))/2+(IF(ISNUMBER(G12),G12,0)/2),0))</f>
        <v/>
      </c>
      <c r="I12" s="58" t="n"/>
      <c r="J12" s="64" t="n"/>
      <c r="K12" s="65">
        <f>TRUNC((((J$6-IF(ISNUMBER(J12),J12,0))*100)/J$6),0)</f>
        <v/>
      </c>
    </row>
    <row r="13" ht="14.4" customHeight="1" s="69">
      <c r="A13" s="29" t="n">
        <v>6</v>
      </c>
      <c r="B13" s="30" t="n"/>
      <c r="C13" s="31" t="n"/>
      <c r="D13" s="39" t="n"/>
      <c r="E13" s="33" t="n"/>
      <c r="F13" s="33" t="n"/>
      <c r="G13" s="34" t="n"/>
      <c r="H13" s="35">
        <f>IF(K13&lt;85,"No%",TRUNC((IF(ISNUMBER(E13),E13,0)+IF(ISNUMBER(F13),F13,0))/IF(COUNT(D13:F13)=0,1,COUNT(D13:F13))/2+(IF(ISNUMBER(G13),G13,0)/2),0))</f>
        <v/>
      </c>
      <c r="I13" s="61" t="n"/>
      <c r="J13" s="62" t="n"/>
      <c r="K13" s="63">
        <f>TRUNC((((J$6-IF(ISNUMBER(J13),J13,0))*100)/J$6),0)</f>
        <v/>
      </c>
    </row>
    <row r="14" ht="14.4" customHeight="1" s="69">
      <c r="A14" s="36" t="n">
        <v>7</v>
      </c>
      <c r="B14" s="37" t="n"/>
      <c r="C14" s="38" t="n"/>
      <c r="D14" s="39" t="n"/>
      <c r="E14" s="40" t="n"/>
      <c r="F14" s="40" t="n"/>
      <c r="G14" s="41" t="n"/>
      <c r="H14" s="42">
        <f>IF(K14&lt;85,"No%",TRUNC((IF(ISNUMBER(E14),E14,0)+IF(ISNUMBER(F14),F14,0))/IF(COUNT(D14:F14)=0,1,COUNT(D14:F14))/2+(IF(ISNUMBER(G14),G14,0)/2),0))</f>
        <v/>
      </c>
      <c r="I14" s="58" t="n"/>
      <c r="J14" s="64" t="n"/>
      <c r="K14" s="65">
        <f>TRUNC((((J$6-IF(ISNUMBER(J14),J14,0))*100)/J$6),0)</f>
        <v/>
      </c>
    </row>
    <row r="15" ht="14.4" customHeight="1" s="69">
      <c r="A15" s="29" t="n">
        <v>8</v>
      </c>
      <c r="B15" s="30" t="n"/>
      <c r="C15" s="31" t="n"/>
      <c r="D15" s="39" t="n"/>
      <c r="E15" s="33" t="n"/>
      <c r="F15" s="33" t="n"/>
      <c r="G15" s="34" t="n"/>
      <c r="H15" s="35">
        <f>IF(K15&lt;85,"No%",TRUNC((IF(ISNUMBER(E15),E15,0)+IF(ISNUMBER(F15),F15,0))/IF(COUNT(D15:F15)=0,1,COUNT(D15:F15))/2+(IF(ISNUMBER(G15),G15,0)/2),0))</f>
        <v/>
      </c>
      <c r="I15" s="61" t="n"/>
      <c r="J15" s="62" t="n"/>
      <c r="K15" s="63">
        <f>TRUNC((((J$6-IF(ISNUMBER(J15),J15,0))*100)/J$6),0)</f>
        <v/>
      </c>
    </row>
    <row r="16" ht="14.4" customHeight="1" s="69">
      <c r="A16" s="36" t="n">
        <v>9</v>
      </c>
      <c r="B16" s="37" t="n"/>
      <c r="C16" s="38" t="n"/>
      <c r="D16" s="39" t="n"/>
      <c r="E16" s="40" t="n"/>
      <c r="F16" s="40" t="n"/>
      <c r="G16" s="41" t="n"/>
      <c r="H16" s="42">
        <f>IF(K16&lt;85,"No%",TRUNC((IF(ISNUMBER(E16),E16,0)+IF(ISNUMBER(F16),F16,0))/IF(COUNT(D16:F16)=0,1,COUNT(D16:F16))/2+(IF(ISNUMBER(G16),G16,0)/2),0))</f>
        <v/>
      </c>
      <c r="I16" s="58" t="n"/>
      <c r="J16" s="64" t="n"/>
      <c r="K16" s="65">
        <f>TRUNC((((J$6-IF(ISNUMBER(J16),J16,0))*100)/J$6),0)</f>
        <v/>
      </c>
    </row>
    <row r="17" ht="14.4" customHeight="1" s="69">
      <c r="A17" s="29" t="n">
        <v>10</v>
      </c>
      <c r="B17" s="30" t="n"/>
      <c r="C17" s="31" t="n"/>
      <c r="D17" s="39" t="n"/>
      <c r="E17" s="33" t="n"/>
      <c r="F17" s="33" t="n"/>
      <c r="G17" s="34" t="n"/>
      <c r="H17" s="35">
        <f>IF(K17&lt;85,"No%",TRUNC((IF(ISNUMBER(E17),E17,0)+IF(ISNUMBER(F17),F17,0))/IF(COUNT(D17:F17)=0,1,COUNT(D17:F17))/2+(IF(ISNUMBER(G17),G17,0)/2),0))</f>
        <v/>
      </c>
      <c r="I17" s="61" t="n"/>
      <c r="J17" s="62" t="n"/>
      <c r="K17" s="63">
        <f>TRUNC((((J$6-IF(ISNUMBER(J17),J17,0))*100)/J$6),0)</f>
        <v/>
      </c>
    </row>
    <row r="18" ht="14.4" customHeight="1" s="69">
      <c r="A18" s="36" t="n">
        <v>11</v>
      </c>
      <c r="B18" s="37" t="n"/>
      <c r="C18" s="38" t="n"/>
      <c r="D18" s="39" t="n"/>
      <c r="E18" s="40" t="n"/>
      <c r="F18" s="40" t="n"/>
      <c r="G18" s="41" t="n"/>
      <c r="H18" s="42">
        <f>IF(K18&lt;85,"No%",TRUNC((IF(ISNUMBER(E18),E18,0)+IF(ISNUMBER(F18),F18,0))/IF(COUNT(D18:F18)=0,1,COUNT(D18:F18))/2+(IF(ISNUMBER(G18),G18,0)/2),0))</f>
        <v/>
      </c>
      <c r="I18" s="58" t="n"/>
      <c r="J18" s="64" t="n"/>
      <c r="K18" s="65">
        <f>TRUNC((((J$6-IF(ISNUMBER(J18),J18,0))*100)/J$6),0)</f>
        <v/>
      </c>
    </row>
    <row r="19" ht="14.4" customHeight="1" s="69">
      <c r="A19" s="29" t="n">
        <v>12</v>
      </c>
      <c r="B19" s="30" t="n"/>
      <c r="C19" s="31" t="n"/>
      <c r="D19" s="39" t="n"/>
      <c r="E19" s="33" t="n"/>
      <c r="F19" s="33" t="n"/>
      <c r="G19" s="34" t="n"/>
      <c r="H19" s="35">
        <f>IF(K19&lt;85,"No%",TRUNC((IF(ISNUMBER(E19),E19,0)+IF(ISNUMBER(F19),F19,0))/IF(COUNT(D19:F19)=0,1,COUNT(D19:F19))/2+(IF(ISNUMBER(G19),G19,0)/2),0))</f>
        <v/>
      </c>
      <c r="I19" s="61" t="n"/>
      <c r="J19" s="62" t="n"/>
      <c r="K19" s="63">
        <f>TRUNC((((J$6-IF(ISNUMBER(J19),J19,0))*100)/J$6),0)</f>
        <v/>
      </c>
    </row>
    <row r="20" ht="14.4" customHeight="1" s="69">
      <c r="A20" s="36" t="n">
        <v>13</v>
      </c>
      <c r="B20" s="37" t="n"/>
      <c r="C20" s="38" t="n"/>
      <c r="D20" s="39" t="n"/>
      <c r="E20" s="40" t="n"/>
      <c r="F20" s="40" t="n"/>
      <c r="G20" s="41" t="n"/>
      <c r="H20" s="42">
        <f>IF(K20&lt;85,"No%",TRUNC((IF(ISNUMBER(E20),E20,0)+IF(ISNUMBER(F20),F20,0))/IF(COUNT(D20:F20)=0,1,COUNT(D20:F20))/2+(IF(ISNUMBER(G20),G20,0)/2),0))</f>
        <v/>
      </c>
      <c r="I20" s="58" t="n"/>
      <c r="J20" s="64" t="n"/>
      <c r="K20" s="65">
        <f>TRUNC((((J$6-IF(ISNUMBER(J20),J20,0))*100)/J$6),0)</f>
        <v/>
      </c>
    </row>
    <row r="21" ht="14.4" customHeight="1" s="69">
      <c r="A21" s="29" t="n">
        <v>14</v>
      </c>
      <c r="B21" s="30" t="n"/>
      <c r="C21" s="31" t="n"/>
      <c r="D21" s="39" t="n"/>
      <c r="E21" s="33" t="n"/>
      <c r="F21" s="33" t="n"/>
      <c r="G21" s="34" t="n"/>
      <c r="H21" s="35">
        <f>IF(K21&lt;85,"No%",TRUNC((IF(ISNUMBER(E21),E21,0)+IF(ISNUMBER(F21),F21,0))/IF(COUNT(D21:F21)=0,1,COUNT(D21:F21))/2+(IF(ISNUMBER(G21),G21,0)/2),0))</f>
        <v/>
      </c>
      <c r="I21" s="61" t="n"/>
      <c r="J21" s="62" t="n"/>
      <c r="K21" s="63">
        <f>TRUNC((((J$6-IF(ISNUMBER(J21),J21,0))*100)/J$6),0)</f>
        <v/>
      </c>
    </row>
    <row r="22" ht="14.4" customHeight="1" s="69">
      <c r="A22" s="36" t="n">
        <v>15</v>
      </c>
      <c r="B22" s="37" t="n"/>
      <c r="C22" s="38" t="n"/>
      <c r="D22" s="39" t="n"/>
      <c r="E22" s="40" t="n"/>
      <c r="F22" s="40" t="n"/>
      <c r="G22" s="41" t="n"/>
      <c r="H22" s="42">
        <f>IF(K22&lt;85,"No%",TRUNC((IF(ISNUMBER(E22),E22,0)+IF(ISNUMBER(F22),F22,0))/IF(COUNT(D22:F22)=0,1,COUNT(D22:F22))/2+(IF(ISNUMBER(G22),G22,0)/2),0))</f>
        <v/>
      </c>
      <c r="I22" s="58" t="n"/>
      <c r="J22" s="64" t="n"/>
      <c r="K22" s="65">
        <f>TRUNC((((J$6-IF(ISNUMBER(J22),J22,0))*100)/J$6),0)</f>
        <v/>
      </c>
    </row>
    <row r="23" ht="14.4" customHeight="1" s="69">
      <c r="A23" s="29" t="n">
        <v>16</v>
      </c>
      <c r="B23" s="30" t="n"/>
      <c r="C23" s="31" t="n"/>
      <c r="D23" s="39" t="n"/>
      <c r="E23" s="33" t="n"/>
      <c r="F23" s="33" t="n"/>
      <c r="G23" s="34" t="n"/>
      <c r="H23" s="35">
        <f>IF(K23&lt;85,"No%",TRUNC((IF(ISNUMBER(E23),E23,0)+IF(ISNUMBER(F23),F23,0))/IF(COUNT(D23:F23)=0,1,COUNT(D23:F23))/2+(IF(ISNUMBER(G23),G23,0)/2),0))</f>
        <v/>
      </c>
      <c r="I23" s="61" t="n"/>
      <c r="J23" s="62" t="n"/>
      <c r="K23" s="63">
        <f>TRUNC((((J$6-IF(ISNUMBER(J23),J23,0))*100)/J$6),0)</f>
        <v/>
      </c>
    </row>
    <row r="24" ht="14.4" customHeight="1" s="69">
      <c r="A24" s="36" t="n">
        <v>17</v>
      </c>
      <c r="B24" s="37" t="n"/>
      <c r="C24" s="38" t="n"/>
      <c r="D24" s="39" t="n"/>
      <c r="E24" s="40" t="n"/>
      <c r="F24" s="40" t="n"/>
      <c r="G24" s="41" t="n"/>
      <c r="H24" s="42">
        <f>IF(K24&lt;85,"No%",TRUNC((IF(ISNUMBER(E24),E24,0)+IF(ISNUMBER(F24),F24,0))/IF(COUNT(D24:F24)=0,1,COUNT(D24:F24))/2+(IF(ISNUMBER(G24),G24,0)/2),0))</f>
        <v/>
      </c>
      <c r="I24" s="58" t="n"/>
      <c r="J24" s="64" t="n"/>
      <c r="K24" s="65">
        <f>TRUNC((((J$6-IF(ISNUMBER(J24),J24,0))*100)/J$6),0)</f>
        <v/>
      </c>
    </row>
    <row r="25" ht="14.4" customHeight="1" s="69">
      <c r="A25" s="29" t="n">
        <v>18</v>
      </c>
      <c r="B25" s="30" t="n"/>
      <c r="C25" s="31" t="n"/>
      <c r="D25" s="39" t="n"/>
      <c r="E25" s="33" t="n"/>
      <c r="F25" s="33" t="n"/>
      <c r="G25" s="34" t="n"/>
      <c r="H25" s="35">
        <f>IF(K25&lt;85,"No%",TRUNC((IF(ISNUMBER(E25),E25,0)+IF(ISNUMBER(F25),F25,0))/IF(COUNT(D25:F25)=0,1,COUNT(D25:F25))/2+(IF(ISNUMBER(G25),G25,0)/2),0))</f>
        <v/>
      </c>
      <c r="I25" s="61" t="n"/>
      <c r="J25" s="62" t="n"/>
      <c r="K25" s="63">
        <f>TRUNC((((J$6-IF(ISNUMBER(J25),J25,0))*100)/J$6),0)</f>
        <v/>
      </c>
    </row>
    <row r="26" ht="14.4" customHeight="1" s="69">
      <c r="A26" s="36" t="n">
        <v>19</v>
      </c>
      <c r="B26" s="37" t="n"/>
      <c r="C26" s="38" t="n"/>
      <c r="D26" s="39" t="n"/>
      <c r="E26" s="40" t="n"/>
      <c r="F26" s="40" t="n"/>
      <c r="G26" s="41" t="n"/>
      <c r="H26" s="42">
        <f>IF(K26&lt;85,"No%",TRUNC((IF(ISNUMBER(E26),E26,0)+IF(ISNUMBER(F26),F26,0))/IF(COUNT(D26:F26)=0,1,COUNT(D26:F26))/2+(IF(ISNUMBER(G26),G26,0)/2),0))</f>
        <v/>
      </c>
      <c r="I26" s="58" t="n"/>
      <c r="J26" s="64" t="n"/>
      <c r="K26" s="65">
        <f>TRUNC((((J$6-IF(ISNUMBER(J26),J26,0))*100)/J$6),0)</f>
        <v/>
      </c>
    </row>
    <row r="27" ht="14.4" customHeight="1" s="69">
      <c r="A27" s="29" t="n">
        <v>20</v>
      </c>
      <c r="B27" s="30" t="n"/>
      <c r="C27" s="31" t="n"/>
      <c r="D27" s="39" t="n"/>
      <c r="E27" s="33" t="n"/>
      <c r="F27" s="33" t="n"/>
      <c r="G27" s="34" t="n"/>
      <c r="H27" s="35">
        <f>IF(K27&lt;85,"No%",TRUNC((IF(ISNUMBER(E27),E27,0)+IF(ISNUMBER(F27),F27,0))/IF(COUNT(D27:F27)=0,1,COUNT(D27:F27))/2+(IF(ISNUMBER(G27),G27,0)/2),0))</f>
        <v/>
      </c>
      <c r="I27" s="61" t="n"/>
      <c r="J27" s="62" t="n"/>
      <c r="K27" s="63">
        <f>TRUNC((((J$6-IF(ISNUMBER(J27),J27,0))*100)/J$6),0)</f>
        <v/>
      </c>
    </row>
    <row r="28" ht="14.4" customHeight="1" s="69">
      <c r="A28" s="36" t="n">
        <v>21</v>
      </c>
      <c r="B28" s="37" t="n"/>
      <c r="C28" s="38" t="n"/>
      <c r="D28" s="39" t="n"/>
      <c r="E28" s="40" t="n"/>
      <c r="F28" s="40" t="n"/>
      <c r="G28" s="41" t="n"/>
      <c r="H28" s="42">
        <f>IF(K28&lt;85,"No%",TRUNC((IF(ISNUMBER(E28),E28,0)+IF(ISNUMBER(F28),F28,0))/IF(COUNT(D28:F28)=0,1,COUNT(D28:F28))/2+(IF(ISNUMBER(G28),G28,0)/2),0))</f>
        <v/>
      </c>
      <c r="I28" s="58" t="n"/>
      <c r="J28" s="64" t="n"/>
      <c r="K28" s="65">
        <f>TRUNC((((J$6-IF(ISNUMBER(J28),J28,0))*100)/J$6),0)</f>
        <v/>
      </c>
    </row>
    <row r="29" ht="14.4" customHeight="1" s="69">
      <c r="A29" s="29" t="n">
        <v>22</v>
      </c>
      <c r="B29" s="30" t="n"/>
      <c r="C29" s="31" t="n"/>
      <c r="D29" s="39" t="n"/>
      <c r="E29" s="33" t="n"/>
      <c r="F29" s="33" t="n"/>
      <c r="G29" s="34" t="n"/>
      <c r="H29" s="35">
        <f>IF(K29&lt;85,"No%",TRUNC((IF(ISNUMBER(E29),E29,0)+IF(ISNUMBER(F29),F29,0))/IF(COUNT(D29:F29)=0,1,COUNT(D29:F29))/2+(IF(ISNUMBER(G29),G29,0)/2),0))</f>
        <v/>
      </c>
      <c r="I29" s="61" t="n"/>
      <c r="J29" s="62" t="n"/>
      <c r="K29" s="63">
        <f>TRUNC((((J$6-IF(ISNUMBER(J29),J29,0))*100)/J$6),0)</f>
        <v/>
      </c>
    </row>
    <row r="30" ht="14.4" customHeight="1" s="69">
      <c r="A30" s="36" t="n">
        <v>23</v>
      </c>
      <c r="B30" s="37" t="n"/>
      <c r="C30" s="38" t="n"/>
      <c r="D30" s="39" t="n"/>
      <c r="E30" s="40" t="n"/>
      <c r="F30" s="40" t="n"/>
      <c r="G30" s="41" t="n"/>
      <c r="H30" s="42">
        <f>IF(K30&lt;85,"No%",TRUNC((IF(ISNUMBER(E30),E30,0)+IF(ISNUMBER(F30),F30,0))/IF(COUNT(D30:F30)=0,1,COUNT(D30:F30))/2+(IF(ISNUMBER(G30),G30,0)/2),0))</f>
        <v/>
      </c>
      <c r="I30" s="58" t="n"/>
      <c r="J30" s="64" t="n"/>
      <c r="K30" s="65">
        <f>TRUNC((((J$6-IF(ISNUMBER(J30),J30,0))*100)/J$6),0)</f>
        <v/>
      </c>
    </row>
    <row r="31" ht="14.4" customHeight="1" s="69">
      <c r="A31" s="29" t="n">
        <v>24</v>
      </c>
      <c r="B31" s="30" t="n"/>
      <c r="C31" s="31" t="n"/>
      <c r="D31" s="39" t="n"/>
      <c r="E31" s="33" t="n"/>
      <c r="F31" s="33" t="n"/>
      <c r="G31" s="34" t="n"/>
      <c r="H31" s="35">
        <f>IF(K31&lt;85,"No%",TRUNC((IF(ISNUMBER(E31),E31,0)+IF(ISNUMBER(F31),F31,0))/IF(COUNT(D31:F31)=0,1,COUNT(D31:F31))/2+(IF(ISNUMBER(G31),G31,0)/2),0))</f>
        <v/>
      </c>
      <c r="I31" s="61" t="n"/>
      <c r="J31" s="62" t="n"/>
      <c r="K31" s="63">
        <f>TRUNC((((J$6-IF(ISNUMBER(J31),J31,0))*100)/J$6),0)</f>
        <v/>
      </c>
    </row>
    <row r="32" ht="14.4" customHeight="1" s="69">
      <c r="A32" s="36" t="n">
        <v>25</v>
      </c>
      <c r="B32" s="37" t="n"/>
      <c r="C32" s="38" t="n"/>
      <c r="D32" s="39" t="n"/>
      <c r="E32" s="40" t="n"/>
      <c r="F32" s="40" t="n"/>
      <c r="G32" s="41" t="n"/>
      <c r="H32" s="42">
        <f>IF(K32&lt;85,"No%",TRUNC((IF(ISNUMBER(E32),E32,0)+IF(ISNUMBER(F32),F32,0))/IF(COUNT(D32:F32)=0,1,COUNT(D32:F32))/2+(IF(ISNUMBER(G32),G32,0)/2),0))</f>
        <v/>
      </c>
      <c r="I32" s="58" t="n"/>
      <c r="J32" s="64" t="n"/>
      <c r="K32" s="65">
        <f>TRUNC((((J$6-IF(ISNUMBER(J32),J32,0))*100)/J$6),0)</f>
        <v/>
      </c>
    </row>
    <row r="33" ht="14.4" customHeight="1" s="69">
      <c r="A33" s="29" t="n">
        <v>26</v>
      </c>
      <c r="B33" s="30" t="n"/>
      <c r="C33" s="31" t="n"/>
      <c r="D33" s="39" t="n"/>
      <c r="E33" s="33" t="n"/>
      <c r="F33" s="33" t="n"/>
      <c r="G33" s="34" t="n"/>
      <c r="H33" s="35">
        <f>IF(K33&lt;85,"No%",TRUNC((IF(ISNUMBER(E33),E33,0)+IF(ISNUMBER(F33),F33,0))/IF(COUNT(D33:F33)=0,1,COUNT(D33:F33))/2+(IF(ISNUMBER(G33),G33,0)/2),0))</f>
        <v/>
      </c>
      <c r="I33" s="61" t="n"/>
      <c r="J33" s="62" t="n"/>
      <c r="K33" s="63">
        <f>TRUNC((((J$6-IF(ISNUMBER(J33),J33,0))*100)/J$6),0)</f>
        <v/>
      </c>
    </row>
    <row r="34" ht="14.4" customHeight="1" s="69">
      <c r="A34" s="36" t="n">
        <v>27</v>
      </c>
      <c r="B34" s="37" t="n"/>
      <c r="C34" s="38" t="n"/>
      <c r="D34" s="39" t="n"/>
      <c r="E34" s="40" t="n"/>
      <c r="F34" s="40" t="n"/>
      <c r="G34" s="41" t="n"/>
      <c r="H34" s="42">
        <f>IF(K34&lt;85,"No%",TRUNC((IF(ISNUMBER(E34),E34,0)+IF(ISNUMBER(F34),F34,0))/IF(COUNT(D34:F34)=0,1,COUNT(D34:F34))/2+(IF(ISNUMBER(G34),G34,0)/2),0))</f>
        <v/>
      </c>
      <c r="I34" s="58" t="n"/>
      <c r="J34" s="64" t="n"/>
      <c r="K34" s="65">
        <f>TRUNC((((J$6-IF(ISNUMBER(J34),J34,0))*100)/J$6),0)</f>
        <v/>
      </c>
    </row>
    <row r="35" ht="14.4" customHeight="1" s="69">
      <c r="A35" s="29" t="n">
        <v>28</v>
      </c>
      <c r="B35" s="30" t="n"/>
      <c r="C35" s="31" t="n"/>
      <c r="D35" s="39" t="n"/>
      <c r="E35" s="33" t="n"/>
      <c r="F35" s="33" t="n"/>
      <c r="G35" s="34" t="n"/>
      <c r="H35" s="35">
        <f>IF(K35&lt;85,"No%",TRUNC((IF(ISNUMBER(E35),E35,0)+IF(ISNUMBER(F35),F35,0))/IF(COUNT(D35:F35)=0,1,COUNT(D35:F35))/2+(IF(ISNUMBER(G35),G35,0)/2),0))</f>
        <v/>
      </c>
      <c r="I35" s="61" t="n"/>
      <c r="J35" s="62" t="n"/>
      <c r="K35" s="63">
        <f>TRUNC((((J$6-IF(ISNUMBER(J35),J35,0))*100)/J$6),0)</f>
        <v/>
      </c>
    </row>
    <row r="36" ht="14.4" customHeight="1" s="69">
      <c r="A36" s="36" t="n">
        <v>29</v>
      </c>
      <c r="B36" s="37" t="n"/>
      <c r="C36" s="38" t="n"/>
      <c r="D36" s="39" t="n"/>
      <c r="E36" s="40" t="n"/>
      <c r="F36" s="40" t="n"/>
      <c r="G36" s="41" t="n"/>
      <c r="H36" s="42">
        <f>IF(K36&lt;85,"No%",TRUNC((IF(ISNUMBER(E36),E36,0)+IF(ISNUMBER(F36),F36,0))/IF(COUNT(D36:F36)=0,1,COUNT(D36:F36))/2+(IF(ISNUMBER(G36),G36,0)/2),0))</f>
        <v/>
      </c>
      <c r="I36" s="58" t="n"/>
      <c r="J36" s="64" t="n"/>
      <c r="K36" s="65">
        <f>TRUNC((((J$6-IF(ISNUMBER(J36),J36,0))*100)/J$6),0)</f>
        <v/>
      </c>
    </row>
    <row r="37" ht="15.15" customHeight="1" s="69">
      <c r="A37" s="43" t="n">
        <v>30</v>
      </c>
      <c r="B37" s="44" t="n"/>
      <c r="C37" s="45" t="n"/>
      <c r="D37" s="46" t="n"/>
      <c r="E37" s="47" t="n"/>
      <c r="F37" s="47" t="n"/>
      <c r="G37" s="48" t="n"/>
      <c r="H37" s="49">
        <f>IF(K37&lt;85,"No%",TRUNC((IF(ISNUMBER(E37),E37,0)+IF(ISNUMBER(F37),F37,0))/IF(COUNT(D37:F37)=0,1,COUNT(D37:F37))/2+(IF(ISNUMBER(G37),G37,0)/2),0))</f>
        <v/>
      </c>
      <c r="I37" s="61" t="n"/>
      <c r="J37" s="66" t="n"/>
      <c r="K37" s="67">
        <f>TRUNC((((J$6-IF(ISNUMBER(J37),J37,0))*100)/J$6),0)</f>
        <v/>
      </c>
    </row>
    <row r="38" ht="14.4" customHeight="1" s="69">
      <c r="D38" s="3" t="inlineStr">
        <is>
          <t>Valor mínimo aceptado</t>
        </is>
      </c>
      <c r="E38" s="68" t="n">
        <v>5</v>
      </c>
      <c r="F38" s="68" t="n">
        <v>5</v>
      </c>
      <c r="G38" s="68" t="n">
        <v>5</v>
      </c>
      <c r="H38" s="68" t="n"/>
      <c r="I38" s="68" t="n"/>
      <c r="J38" s="68" t="n">
        <v>0</v>
      </c>
      <c r="K38" s="68" t="n"/>
    </row>
    <row r="39" ht="14.4" customHeight="1" s="69">
      <c r="D39" s="3" t="inlineStr">
        <is>
          <t>Valor máximo aceptado</t>
        </is>
      </c>
      <c r="E39" s="68" t="n">
        <v>10</v>
      </c>
      <c r="F39" s="68" t="n">
        <v>10</v>
      </c>
      <c r="G39" s="68" t="n">
        <v>10</v>
      </c>
      <c r="H39" s="68" t="n"/>
      <c r="I39" s="68" t="n"/>
      <c r="J39" s="68" t="n">
        <v>64</v>
      </c>
      <c r="K39" s="68" t="n"/>
    </row>
    <row r="40" ht="14.4" customHeight="1" s="69">
      <c r="C40" s="51" t="n"/>
      <c r="D40" s="51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623"/>
  <mergeCells count="6">
    <mergeCell ref="D3:K3"/>
    <mergeCell ref="C1:K1"/>
    <mergeCell ref="G6:I6"/>
    <mergeCell ref="D2:K2"/>
    <mergeCell ref="D5:K5"/>
    <mergeCell ref="D4:K4"/>
  </mergeCells>
  <dataValidations count="125">
    <dataValidation sqref="E28" showDropDown="0" showInputMessage="0" showErrorMessage="1" allowBlank="1" errorTitle="Alerta" error="Valor Fuera de Rango" type="decimal" errorStyle="stop" operator="between">
      <formula1>A11</formula1>
      <formula2>A12</formula2>
    </dataValidation>
    <dataValidation sqref="E22" showDropDown="0" showInputMessage="0" showErrorMessage="1" allowBlank="1" errorTitle="Alerta" error="Valor Fuera de Rango" type="decimal" errorStyle="stop" operator="between">
      <formula1>A17</formula1>
      <formula2>A18</formula2>
    </dataValidation>
    <dataValidation sqref="E34" showDropDown="0" showInputMessage="0" showErrorMessage="1" allowBlank="1" errorTitle="Alerta" error="Valor Fuera de Rango" type="decimal" errorStyle="stop" operator="between">
      <formula1>A5</formula1>
      <formula2>A6</formula2>
    </dataValidation>
    <dataValidation sqref="E16" showDropDown="0" showInputMessage="0" showErrorMessage="1" allowBlank="1" errorTitle="Alerta" error="Valor Fuera de Rango" type="decimal" errorStyle="stop" operator="between">
      <formula1>A23</formula1>
      <formula2>A24</formula2>
    </dataValidation>
    <dataValidation sqref="E32" showDropDown="0" showInputMessage="0" showErrorMessage="1" allowBlank="1" errorTitle="Alerta" error="Valor Fuera de Rango" type="decimal" errorStyle="stop" operator="between">
      <formula1>A7</formula1>
      <formula2>A8</formula2>
    </dataValidation>
    <dataValidation sqref="E36" showDropDown="0" showInputMessage="0" showErrorMessage="1" allowBlank="1" errorTitle="Alerta" error="Valor Fuera de Rango" type="decimal" errorStyle="stop" operator="between">
      <formula1>A3</formula1>
      <formula2>A4</formula2>
    </dataValidation>
    <dataValidation sqref="E17" showDropDown="0" showInputMessage="0" showErrorMessage="1" allowBlank="1" errorTitle="Alerta" error="Valor Fuera de Rango" type="decimal" errorStyle="stop" operator="between">
      <formula1>A22</formula1>
      <formula2>A23</formula2>
    </dataValidation>
    <dataValidation sqref="E9" showDropDown="0" showInputMessage="0" showErrorMessage="1" allowBlank="1" errorTitle="Alerta" error="Valor Fuera de Rango" type="decimal" errorStyle="stop" operator="between">
      <formula1>A30</formula1>
      <formula2>A31</formula2>
    </dataValidation>
    <dataValidation sqref="E37" showDropDown="0" showInputMessage="0" showErrorMessage="1" allowBlank="1" errorTitle="Alerta" error="Valor Fuera de Rango" type="decimal" errorStyle="stop" operator="between">
      <formula1>A2</formula1>
      <formula2>A3</formula2>
    </dataValidation>
    <dataValidation sqref="E31" showDropDown="0" showInputMessage="0" showErrorMessage="1" allowBlank="1" errorTitle="Alerta" error="Valor Fuera de Rango" type="decimal" errorStyle="stop" operator="between">
      <formula1>A8</formula1>
      <formula2>A9</formula2>
    </dataValidation>
    <dataValidation sqref="E20" showDropDown="0" showInputMessage="0" showErrorMessage="1" allowBlank="1" errorTitle="Alerta" error="Valor Fuera de Rango" type="decimal" errorStyle="stop" operator="between">
      <formula1>A19</formula1>
      <formula2>A20</formula2>
    </dataValidation>
    <dataValidation sqref="E13" showDropDown="0" showInputMessage="0" showErrorMessage="1" allowBlank="1" errorTitle="Alerta" error="Valor Fuera de Rango" type="decimal" errorStyle="stop" operator="between">
      <formula1>A26</formula1>
      <formula2>A27</formula2>
    </dataValidation>
    <dataValidation sqref="E15" showDropDown="0" showInputMessage="0" showErrorMessage="1" allowBlank="1" errorTitle="Alerta" error="Valor Fuera de Rango" type="decimal" errorStyle="stop" operator="between">
      <formula1>A24</formula1>
      <formula2>A25</formula2>
    </dataValidation>
    <dataValidation sqref="E30" showDropDown="0" showInputMessage="0" showErrorMessage="1" allowBlank="1" errorTitle="Alerta" error="Valor Fuera de Rango" type="decimal" errorStyle="stop" operator="between">
      <formula1>A9</formula1>
      <formula2>A10</formula2>
    </dataValidation>
    <dataValidation sqref="E12" showDropDown="0" showInputMessage="0" showErrorMessage="1" allowBlank="1" errorTitle="Alerta" error="Valor Fuera de Rango" type="decimal" errorStyle="stop" operator="between">
      <formula1>A27</formula1>
      <formula2>A28</formula2>
    </dataValidation>
    <dataValidation sqref="E18" showDropDown="0" showInputMessage="0" showErrorMessage="1" allowBlank="1" errorTitle="Alerta" error="Valor Fuera de Rango" type="decimal" errorStyle="stop" operator="between">
      <formula1>A21</formula1>
      <formula2>A22</formula2>
    </dataValidation>
    <dataValidation sqref="E33" showDropDown="0" showInputMessage="0" showErrorMessage="1" allowBlank="1" errorTitle="Alerta" error="Valor Fuera de Rango" type="decimal" errorStyle="stop" operator="between">
      <formula1>A6</formula1>
      <formula2>A7</formula2>
    </dataValidation>
    <dataValidation sqref="E8" showDropDown="0" showInputMessage="0" showErrorMessage="1" allowBlank="1" errorTitle="Alerta" error="Valor Fuera de Rango" type="decimal" errorStyle="stop" operator="between">
      <formula1>A31</formula1>
      <formula2>A32</formula2>
    </dataValidation>
    <dataValidation sqref="E11" showDropDown="0" showInputMessage="0" showErrorMessage="1" allowBlank="1" errorTitle="Alerta" error="Valor Fuera de Rango" type="decimal" errorStyle="stop" operator="between">
      <formula1>A28</formula1>
      <formula2>A29</formula2>
    </dataValidation>
    <dataValidation sqref="E29" showDropDown="0" showInputMessage="0" showErrorMessage="1" allowBlank="1" errorTitle="Alerta" error="Valor Fuera de Rango" type="decimal" errorStyle="stop" operator="between">
      <formula1>A10</formula1>
      <formula2>A11</formula2>
    </dataValidation>
    <dataValidation sqref="E19" showDropDown="0" showInputMessage="0" showErrorMessage="1" allowBlank="1" errorTitle="Alerta" error="Valor Fuera de Rango" type="decimal" errorStyle="stop" operator="between">
      <formula1>A20</formula1>
      <formula2>A21</formula2>
    </dataValidation>
    <dataValidation sqref="E23" showDropDown="0" showInputMessage="0" showErrorMessage="1" allowBlank="1" errorTitle="Alerta" error="Valor Fuera de Rango" type="decimal" errorStyle="stop" operator="between">
      <formula1>A16</formula1>
      <formula2>A17</formula2>
    </dataValidation>
    <dataValidation sqref="E21" showDropDown="0" showInputMessage="0" showErrorMessage="1" allowBlank="1" errorTitle="Alerta" error="Valor Fuera de Rango" type="decimal" errorStyle="stop" operator="between">
      <formula1>A18</formula1>
      <formula2>A19</formula2>
    </dataValidation>
    <dataValidation sqref="E25" showDropDown="0" showInputMessage="0" showErrorMessage="1" allowBlank="1" errorTitle="Alerta" error="Valor Fuera de Rango" type="decimal" errorStyle="stop" operator="between">
      <formula1>A14</formula1>
      <formula2>A15</formula2>
    </dataValidation>
    <dataValidation sqref="E26" showDropDown="0" showInputMessage="0" showErrorMessage="1" allowBlank="1" errorTitle="Alerta" error="Valor Fuera de Rango" type="decimal" errorStyle="stop" operator="between">
      <formula1>A13</formula1>
      <formula2>A14</formula2>
    </dataValidation>
    <dataValidation sqref="E10" showDropDown="0" showInputMessage="0" showErrorMessage="1" allowBlank="1" errorTitle="Alerta" error="Valor Fuera de Rango" type="decimal" errorStyle="stop" operator="between">
      <formula1>A29</formula1>
      <formula2>A30</formula2>
    </dataValidation>
    <dataValidation sqref="E27" showDropDown="0" showInputMessage="0" showErrorMessage="1" allowBlank="1" errorTitle="Alerta" error="Valor Fuera de Rango" type="decimal" errorStyle="stop" operator="between">
      <formula1>A12</formula1>
      <formula2>A13</formula2>
    </dataValidation>
    <dataValidation sqref="E14" showDropDown="0" showInputMessage="0" showErrorMessage="1" allowBlank="1" errorTitle="Alerta" error="Valor Fuera de Rango" type="decimal" errorStyle="stop" operator="between">
      <formula1>A25</formula1>
      <formula2>A26</formula2>
    </dataValidation>
    <dataValidation sqref="E24" showDropDown="0" showInputMessage="0" showErrorMessage="1" allowBlank="1" errorTitle="Alerta" error="Valor Fuera de Rango" type="decimal" errorStyle="stop" operator="between">
      <formula1>A15</formula1>
      <formula2>A16</formula2>
    </dataValidation>
    <dataValidation sqref="E35" showDropDown="0" showInputMessage="0" showErrorMessage="1" allowBlank="1" errorTitle="Alerta" error="Valor Fuera de Rango" type="decimal" errorStyle="stop" operator="between">
      <formula1>A4</formula1>
      <formula2>A5</formula2>
    </dataValidation>
    <dataValidation sqref="F28" showDropDown="0" showInputMessage="0" showErrorMessage="1" allowBlank="1" errorTitle="Alerta" error="Valor Fuera de Rango" type="decimal" errorStyle="stop" operator="between">
      <formula1>A11</formula1>
      <formula2>A12</formula2>
    </dataValidation>
    <dataValidation sqref="F22" showDropDown="0" showInputMessage="0" showErrorMessage="1" allowBlank="1" errorTitle="Alerta" error="Valor Fuera de Rango" type="decimal" errorStyle="stop" operator="between">
      <formula1>A17</formula1>
      <formula2>A18</formula2>
    </dataValidation>
    <dataValidation sqref="F34" showDropDown="0" showInputMessage="0" showErrorMessage="1" allowBlank="1" errorTitle="Alerta" error="Valor Fuera de Rango" type="decimal" errorStyle="stop" operator="between">
      <formula1>A5</formula1>
      <formula2>A6</formula2>
    </dataValidation>
    <dataValidation sqref="F16" showDropDown="0" showInputMessage="0" showErrorMessage="1" allowBlank="1" errorTitle="Alerta" error="Valor Fuera de Rango" type="decimal" errorStyle="stop" operator="between">
      <formula1>A23</formula1>
      <formula2>A24</formula2>
    </dataValidation>
    <dataValidation sqref="F32" showDropDown="0" showInputMessage="0" showErrorMessage="1" allowBlank="1" errorTitle="Alerta" error="Valor Fuera de Rango" type="decimal" errorStyle="stop" operator="between">
      <formula1>A7</formula1>
      <formula2>A8</formula2>
    </dataValidation>
    <dataValidation sqref="F36" showDropDown="0" showInputMessage="0" showErrorMessage="1" allowBlank="1" errorTitle="Alerta" error="Valor Fuera de Rango" type="decimal" errorStyle="stop" operator="between">
      <formula1>A3</formula1>
      <formula2>A4</formula2>
    </dataValidation>
    <dataValidation sqref="F17" showDropDown="0" showInputMessage="0" showErrorMessage="1" allowBlank="1" errorTitle="Alerta" error="Valor Fuera de Rango" type="decimal" errorStyle="stop" operator="between">
      <formula1>A22</formula1>
      <formula2>A23</formula2>
    </dataValidation>
    <dataValidation sqref="F9" showDropDown="0" showInputMessage="0" showErrorMessage="1" allowBlank="1" errorTitle="Alerta" error="Valor Fuera de Rango" type="decimal" errorStyle="stop" operator="between">
      <formula1>A30</formula1>
      <formula2>A31</formula2>
    </dataValidation>
    <dataValidation sqref="F37" showDropDown="0" showInputMessage="0" showErrorMessage="1" allowBlank="1" errorTitle="Alerta" error="Valor Fuera de Rango" type="decimal" errorStyle="stop" operator="between">
      <formula1>A2</formula1>
      <formula2>A3</formula2>
    </dataValidation>
    <dataValidation sqref="F31" showDropDown="0" showInputMessage="0" showErrorMessage="1" allowBlank="1" errorTitle="Alerta" error="Valor Fuera de Rango" type="decimal" errorStyle="stop" operator="between">
      <formula1>A8</formula1>
      <formula2>A9</formula2>
    </dataValidation>
    <dataValidation sqref="F20" showDropDown="0" showInputMessage="0" showErrorMessage="1" allowBlank="1" errorTitle="Alerta" error="Valor Fuera de Rango" type="decimal" errorStyle="stop" operator="between">
      <formula1>A19</formula1>
      <formula2>A20</formula2>
    </dataValidation>
    <dataValidation sqref="F13" showDropDown="0" showInputMessage="0" showErrorMessage="1" allowBlank="1" errorTitle="Alerta" error="Valor Fuera de Rango" type="decimal" errorStyle="stop" operator="between">
      <formula1>A26</formula1>
      <formula2>A27</formula2>
    </dataValidation>
    <dataValidation sqref="F15" showDropDown="0" showInputMessage="0" showErrorMessage="1" allowBlank="1" errorTitle="Alerta" error="Valor Fuera de Rango" type="decimal" errorStyle="stop" operator="between">
      <formula1>A24</formula1>
      <formula2>A25</formula2>
    </dataValidation>
    <dataValidation sqref="F30" showDropDown="0" showInputMessage="0" showErrorMessage="1" allowBlank="1" errorTitle="Alerta" error="Valor Fuera de Rango" type="decimal" errorStyle="stop" operator="between">
      <formula1>A9</formula1>
      <formula2>A10</formula2>
    </dataValidation>
    <dataValidation sqref="F12" showDropDown="0" showInputMessage="0" showErrorMessage="1" allowBlank="1" errorTitle="Alerta" error="Valor Fuera de Rango" type="decimal" errorStyle="stop" operator="between">
      <formula1>A27</formula1>
      <formula2>A28</formula2>
    </dataValidation>
    <dataValidation sqref="F18" showDropDown="0" showInputMessage="0" showErrorMessage="1" allowBlank="1" errorTitle="Alerta" error="Valor Fuera de Rango" type="decimal" errorStyle="stop" operator="between">
      <formula1>A21</formula1>
      <formula2>A22</formula2>
    </dataValidation>
    <dataValidation sqref="F33" showDropDown="0" showInputMessage="0" showErrorMessage="1" allowBlank="1" errorTitle="Alerta" error="Valor Fuera de Rango" type="decimal" errorStyle="stop" operator="between">
      <formula1>A6</formula1>
      <formula2>A7</formula2>
    </dataValidation>
    <dataValidation sqref="F8" showDropDown="0" showInputMessage="0" showErrorMessage="1" allowBlank="1" errorTitle="Alerta" error="Valor Fuera de Rango" type="decimal" errorStyle="stop" operator="between">
      <formula1>A31</formula1>
      <formula2>A32</formula2>
    </dataValidation>
    <dataValidation sqref="F11" showDropDown="0" showInputMessage="0" showErrorMessage="1" allowBlank="1" errorTitle="Alerta" error="Valor Fuera de Rango" type="decimal" errorStyle="stop" operator="between">
      <formula1>A28</formula1>
      <formula2>A29</formula2>
    </dataValidation>
    <dataValidation sqref="F29" showDropDown="0" showInputMessage="0" showErrorMessage="1" allowBlank="1" errorTitle="Alerta" error="Valor Fuera de Rango" type="decimal" errorStyle="stop" operator="between">
      <formula1>A10</formula1>
      <formula2>A11</formula2>
    </dataValidation>
    <dataValidation sqref="F19" showDropDown="0" showInputMessage="0" showErrorMessage="1" allowBlank="1" errorTitle="Alerta" error="Valor Fuera de Rango" type="decimal" errorStyle="stop" operator="between">
      <formula1>A20</formula1>
      <formula2>A21</formula2>
    </dataValidation>
    <dataValidation sqref="F23" showDropDown="0" showInputMessage="0" showErrorMessage="1" allowBlank="1" errorTitle="Alerta" error="Valor Fuera de Rango" type="decimal" errorStyle="stop" operator="between">
      <formula1>A16</formula1>
      <formula2>A17</formula2>
    </dataValidation>
    <dataValidation sqref="F21" showDropDown="0" showInputMessage="0" showErrorMessage="1" allowBlank="1" errorTitle="Alerta" error="Valor Fuera de Rango" type="decimal" errorStyle="stop" operator="between">
      <formula1>A18</formula1>
      <formula2>A19</formula2>
    </dataValidation>
    <dataValidation sqref="F25" showDropDown="0" showInputMessage="0" showErrorMessage="1" allowBlank="1" errorTitle="Alerta" error="Valor Fuera de Rango" type="decimal" errorStyle="stop" operator="between">
      <formula1>A14</formula1>
      <formula2>A15</formula2>
    </dataValidation>
    <dataValidation sqref="F26" showDropDown="0" showInputMessage="0" showErrorMessage="1" allowBlank="1" errorTitle="Alerta" error="Valor Fuera de Rango" type="decimal" errorStyle="stop" operator="between">
      <formula1>A13</formula1>
      <formula2>A14</formula2>
    </dataValidation>
    <dataValidation sqref="F10" showDropDown="0" showInputMessage="0" showErrorMessage="1" allowBlank="1" errorTitle="Alerta" error="Valor Fuera de Rango" type="decimal" errorStyle="stop" operator="between">
      <formula1>A29</formula1>
      <formula2>A30</formula2>
    </dataValidation>
    <dataValidation sqref="F27" showDropDown="0" showInputMessage="0" showErrorMessage="1" allowBlank="1" errorTitle="Alerta" error="Valor Fuera de Rango" type="decimal" errorStyle="stop" operator="between">
      <formula1>A12</formula1>
      <formula2>A13</formula2>
    </dataValidation>
    <dataValidation sqref="F14" showDropDown="0" showInputMessage="0" showErrorMessage="1" allowBlank="1" errorTitle="Alerta" error="Valor Fuera de Rango" type="decimal" errorStyle="stop" operator="between">
      <formula1>A25</formula1>
      <formula2>A26</formula2>
    </dataValidation>
    <dataValidation sqref="F24" showDropDown="0" showInputMessage="0" showErrorMessage="1" allowBlank="1" errorTitle="Alerta" error="Valor Fuera de Rango" type="decimal" errorStyle="stop" operator="between">
      <formula1>A15</formula1>
      <formula2>A16</formula2>
    </dataValidation>
    <dataValidation sqref="F35" showDropDown="0" showInputMessage="0" showErrorMessage="1" allowBlank="1" errorTitle="Alerta" error="Valor Fuera de Rango" type="decimal" errorStyle="stop" operator="between">
      <formula1>A4</formula1>
      <formula2>A5</formula2>
    </dataValidation>
    <dataValidation sqref="G28" showDropDown="0" showInputMessage="0" showErrorMessage="1" allowBlank="1" errorTitle="Alerta" error="Valor Fuera de Rango" type="decimal" errorStyle="stop" operator="between">
      <formula1>A11</formula1>
      <formula2>A12</formula2>
    </dataValidation>
    <dataValidation sqref="G22" showDropDown="0" showInputMessage="0" showErrorMessage="1" allowBlank="1" errorTitle="Alerta" error="Valor Fuera de Rango" type="decimal" errorStyle="stop" operator="between">
      <formula1>A17</formula1>
      <formula2>A18</formula2>
    </dataValidation>
    <dataValidation sqref="G34" showDropDown="0" showInputMessage="0" showErrorMessage="1" allowBlank="1" errorTitle="Alerta" error="Valor Fuera de Rango" type="decimal" errorStyle="stop" operator="between">
      <formula1>A5</formula1>
      <formula2>A6</formula2>
    </dataValidation>
    <dataValidation sqref="G16" showDropDown="0" showInputMessage="0" showErrorMessage="1" allowBlank="1" errorTitle="Alerta" error="Valor Fuera de Rango" type="decimal" errorStyle="stop" operator="between">
      <formula1>A23</formula1>
      <formula2>A24</formula2>
    </dataValidation>
    <dataValidation sqref="G32" showDropDown="0" showInputMessage="0" showErrorMessage="1" allowBlank="1" errorTitle="Alerta" error="Valor Fuera de Rango" type="decimal" errorStyle="stop" operator="between">
      <formula1>A7</formula1>
      <formula2>A8</formula2>
    </dataValidation>
    <dataValidation sqref="G36" showDropDown="0" showInputMessage="0" showErrorMessage="1" allowBlank="1" errorTitle="Alerta" error="Valor Fuera de Rango" type="decimal" errorStyle="stop" operator="between">
      <formula1>A3</formula1>
      <formula2>A4</formula2>
    </dataValidation>
    <dataValidation sqref="G17" showDropDown="0" showInputMessage="0" showErrorMessage="1" allowBlank="1" errorTitle="Alerta" error="Valor Fuera de Rango" type="decimal" errorStyle="stop" operator="between">
      <formula1>A22</formula1>
      <formula2>A23</formula2>
    </dataValidation>
    <dataValidation sqref="G9" showDropDown="0" showInputMessage="0" showErrorMessage="1" allowBlank="1" errorTitle="Alerta" error="Valor Fuera de Rango" type="decimal" errorStyle="stop" operator="between">
      <formula1>A30</formula1>
      <formula2>A31</formula2>
    </dataValidation>
    <dataValidation sqref="G37" showDropDown="0" showInputMessage="0" showErrorMessage="1" allowBlank="1" errorTitle="Alerta" error="Valor Fuera de Rango" type="decimal" errorStyle="stop" operator="between">
      <formula1>A2</formula1>
      <formula2>A3</formula2>
    </dataValidation>
    <dataValidation sqref="G31" showDropDown="0" showInputMessage="0" showErrorMessage="1" allowBlank="1" errorTitle="Alerta" error="Valor Fuera de Rango" type="decimal" errorStyle="stop" operator="between">
      <formula1>A8</formula1>
      <formula2>A9</formula2>
    </dataValidation>
    <dataValidation sqref="G20" showDropDown="0" showInputMessage="0" showErrorMessage="1" allowBlank="1" errorTitle="Alerta" error="Valor Fuera de Rango" type="decimal" errorStyle="stop" operator="between">
      <formula1>A19</formula1>
      <formula2>A20</formula2>
    </dataValidation>
    <dataValidation sqref="G13" showDropDown="0" showInputMessage="0" showErrorMessage="1" allowBlank="1" errorTitle="Alerta" error="Valor Fuera de Rango" type="decimal" errorStyle="stop" operator="between">
      <formula1>A26</formula1>
      <formula2>A27</formula2>
    </dataValidation>
    <dataValidation sqref="G15" showDropDown="0" showInputMessage="0" showErrorMessage="1" allowBlank="1" errorTitle="Alerta" error="Valor Fuera de Rango" type="decimal" errorStyle="stop" operator="between">
      <formula1>A24</formula1>
      <formula2>A25</formula2>
    </dataValidation>
    <dataValidation sqref="G30" showDropDown="0" showInputMessage="0" showErrorMessage="1" allowBlank="1" errorTitle="Alerta" error="Valor Fuera de Rango" type="decimal" errorStyle="stop" operator="between">
      <formula1>A9</formula1>
      <formula2>A10</formula2>
    </dataValidation>
    <dataValidation sqref="G12" showDropDown="0" showInputMessage="0" showErrorMessage="1" allowBlank="1" errorTitle="Alerta" error="Valor Fuera de Rango" type="decimal" errorStyle="stop" operator="between">
      <formula1>A27</formula1>
      <formula2>A28</formula2>
    </dataValidation>
    <dataValidation sqref="G18" showDropDown="0" showInputMessage="0" showErrorMessage="1" allowBlank="1" errorTitle="Alerta" error="Valor Fuera de Rango" type="decimal" errorStyle="stop" operator="between">
      <formula1>A21</formula1>
      <formula2>A22</formula2>
    </dataValidation>
    <dataValidation sqref="G33" showDropDown="0" showInputMessage="0" showErrorMessage="1" allowBlank="1" errorTitle="Alerta" error="Valor Fuera de Rango" type="decimal" errorStyle="stop" operator="between">
      <formula1>A6</formula1>
      <formula2>A7</formula2>
    </dataValidation>
    <dataValidation sqref="G8" showDropDown="0" showInputMessage="0" showErrorMessage="1" allowBlank="1" errorTitle="Alerta" error="Valor Fuera de Rango" type="decimal" errorStyle="stop" operator="between">
      <formula1>A31</formula1>
      <formula2>A32</formula2>
    </dataValidation>
    <dataValidation sqref="G11" showDropDown="0" showInputMessage="0" showErrorMessage="1" allowBlank="1" errorTitle="Alerta" error="Valor Fuera de Rango" type="decimal" errorStyle="stop" operator="between">
      <formula1>A28</formula1>
      <formula2>A29</formula2>
    </dataValidation>
    <dataValidation sqref="G29" showDropDown="0" showInputMessage="0" showErrorMessage="1" allowBlank="1" errorTitle="Alerta" error="Valor Fuera de Rango" type="decimal" errorStyle="stop" operator="between">
      <formula1>A10</formula1>
      <formula2>A11</formula2>
    </dataValidation>
    <dataValidation sqref="G19" showDropDown="0" showInputMessage="0" showErrorMessage="1" allowBlank="1" errorTitle="Alerta" error="Valor Fuera de Rango" type="decimal" errorStyle="stop" operator="between">
      <formula1>A20</formula1>
      <formula2>A21</formula2>
    </dataValidation>
    <dataValidation sqref="G23" showDropDown="0" showInputMessage="0" showErrorMessage="1" allowBlank="1" errorTitle="Alerta" error="Valor Fuera de Rango" type="decimal" errorStyle="stop" operator="between">
      <formula1>A16</formula1>
      <formula2>A17</formula2>
    </dataValidation>
    <dataValidation sqref="G21" showDropDown="0" showInputMessage="0" showErrorMessage="1" allowBlank="1" errorTitle="Alerta" error="Valor Fuera de Rango" type="decimal" errorStyle="stop" operator="between">
      <formula1>A18</formula1>
      <formula2>A19</formula2>
    </dataValidation>
    <dataValidation sqref="G25" showDropDown="0" showInputMessage="0" showErrorMessage="1" allowBlank="1" errorTitle="Alerta" error="Valor Fuera de Rango" type="decimal" errorStyle="stop" operator="between">
      <formula1>A14</formula1>
      <formula2>A15</formula2>
    </dataValidation>
    <dataValidation sqref="G26" showDropDown="0" showInputMessage="0" showErrorMessage="1" allowBlank="1" errorTitle="Alerta" error="Valor Fuera de Rango" type="decimal" errorStyle="stop" operator="between">
      <formula1>A13</formula1>
      <formula2>A14</formula2>
    </dataValidation>
    <dataValidation sqref="G10" showDropDown="0" showInputMessage="0" showErrorMessage="1" allowBlank="1" errorTitle="Alerta" error="Valor Fuera de Rango" type="decimal" errorStyle="stop" operator="between">
      <formula1>A29</formula1>
      <formula2>A30</formula2>
    </dataValidation>
    <dataValidation sqref="G27" showDropDown="0" showInputMessage="0" showErrorMessage="1" allowBlank="1" errorTitle="Alerta" error="Valor Fuera de Rango" type="decimal" errorStyle="stop" operator="between">
      <formula1>A12</formula1>
      <formula2>A13</formula2>
    </dataValidation>
    <dataValidation sqref="G14" showDropDown="0" showInputMessage="0" showErrorMessage="1" allowBlank="1" errorTitle="Alerta" error="Valor Fuera de Rango" type="decimal" errorStyle="stop" operator="between">
      <formula1>A25</formula1>
      <formula2>A26</formula2>
    </dataValidation>
    <dataValidation sqref="G24" showDropDown="0" showInputMessage="0" showErrorMessage="1" allowBlank="1" errorTitle="Alerta" error="Valor Fuera de Rango" type="decimal" errorStyle="stop" operator="between">
      <formula1>A15</formula1>
      <formula2>A16</formula2>
    </dataValidation>
    <dataValidation sqref="G35" showDropDown="0" showInputMessage="0" showErrorMessage="1" allowBlank="1" errorTitle="Alerta" error="Valor Fuera de Rango" type="decimal" errorStyle="stop" operator="between">
      <formula1>A4</formula1>
      <formula2>A5</formula2>
    </dataValidation>
    <dataValidation sqref="H8:H37" showDropDown="0" showInputMessage="0" showErrorMessage="0" allowBlank="1" errorTitle="Alerta" error="Valor Fuera de Rango" type="decimal" errorStyle="stop" operator="between">
      <formula1>A31</formula1>
      <formula2>A32</formula2>
    </dataValidation>
    <dataValidation sqref="I8" showDropDown="0" showInputMessage="0" showErrorMessage="0" allowBlank="1" errorTitle="Alerta" error="Valor Fuera de Rango" type="decimal" errorStyle="stop" operator="between">
      <formula1>A31</formula1>
      <formula2>A32</formula2>
    </dataValidation>
    <dataValidation sqref="I15:I37" showDropDown="0" showInputMessage="0" showErrorMessage="0" allowBlank="1" errorTitle="Alerta" error="Valor Fuera de Rango" type="decimal" errorStyle="stop" operator="between">
      <formula1>A26</formula1>
      <formula2>A27</formula2>
    </dataValidation>
    <dataValidation sqref="J28" showDropDown="0" showInputMessage="0" showErrorMessage="1" allowBlank="1" errorTitle="Alerta" error="Valor Fuera de Rango" type="decimal" errorStyle="stop" operator="between">
      <formula1>A11</formula1>
      <formula2>A12</formula2>
    </dataValidation>
    <dataValidation sqref="J22" showDropDown="0" showInputMessage="0" showErrorMessage="1" allowBlank="1" errorTitle="Alerta" error="Valor Fuera de Rango" type="decimal" errorStyle="stop" operator="between">
      <formula1>A17</formula1>
      <formula2>A18</formula2>
    </dataValidation>
    <dataValidation sqref="J34" showDropDown="0" showInputMessage="0" showErrorMessage="1" allowBlank="1" errorTitle="Alerta" error="Valor Fuera de Rango" type="decimal" errorStyle="stop" operator="between">
      <formula1>A5</formula1>
      <formula2>A6</formula2>
    </dataValidation>
    <dataValidation sqref="J16" showDropDown="0" showInputMessage="0" showErrorMessage="1" allowBlank="1" errorTitle="Alerta" error="Valor Fuera de Rango" type="decimal" errorStyle="stop" operator="between">
      <formula1>A23</formula1>
      <formula2>A24</formula2>
    </dataValidation>
    <dataValidation sqref="J32" showDropDown="0" showInputMessage="0" showErrorMessage="1" allowBlank="1" errorTitle="Alerta" error="Valor Fuera de Rango" type="decimal" errorStyle="stop" operator="between">
      <formula1>A7</formula1>
      <formula2>A8</formula2>
    </dataValidation>
    <dataValidation sqref="J36" showDropDown="0" showInputMessage="0" showErrorMessage="1" allowBlank="1" errorTitle="Alerta" error="Valor Fuera de Rango" type="decimal" errorStyle="stop" operator="between">
      <formula1>A3</formula1>
      <formula2>A4</formula2>
    </dataValidation>
    <dataValidation sqref="J17" showDropDown="0" showInputMessage="0" showErrorMessage="1" allowBlank="1" errorTitle="Alerta" error="Valor Fuera de Rango" type="decimal" errorStyle="stop" operator="between">
      <formula1>A22</formula1>
      <formula2>A23</formula2>
    </dataValidation>
    <dataValidation sqref="J9" showDropDown="0" showInputMessage="0" showErrorMessage="1" allowBlank="1" errorTitle="Alerta" error="Valor Fuera de Rango" type="decimal" errorStyle="stop" operator="between">
      <formula1>A30</formula1>
      <formula2>A31</formula2>
    </dataValidation>
    <dataValidation sqref="J37" showDropDown="0" showInputMessage="0" showErrorMessage="1" allowBlank="1" errorTitle="Alerta" error="Valor Fuera de Rango" type="decimal" errorStyle="stop" operator="between">
      <formula1>A2</formula1>
      <formula2>A3</formula2>
    </dataValidation>
    <dataValidation sqref="J31" showDropDown="0" showInputMessage="0" showErrorMessage="1" allowBlank="1" errorTitle="Alerta" error="Valor Fuera de Rango" type="decimal" errorStyle="stop" operator="between">
      <formula1>A8</formula1>
      <formula2>A9</formula2>
    </dataValidation>
    <dataValidation sqref="J20" showDropDown="0" showInputMessage="0" showErrorMessage="1" allowBlank="1" errorTitle="Alerta" error="Valor Fuera de Rango" type="decimal" errorStyle="stop" operator="between">
      <formula1>A19</formula1>
      <formula2>A20</formula2>
    </dataValidation>
    <dataValidation sqref="J13" showDropDown="0" showInputMessage="0" showErrorMessage="1" allowBlank="1" errorTitle="Alerta" error="Valor Fuera de Rango" type="decimal" errorStyle="stop" operator="between">
      <formula1>A26</formula1>
      <formula2>A27</formula2>
    </dataValidation>
    <dataValidation sqref="J15" showDropDown="0" showInputMessage="0" showErrorMessage="1" allowBlank="1" errorTitle="Alerta" error="Valor Fuera de Rango" type="decimal" errorStyle="stop" operator="between">
      <formula1>A24</formula1>
      <formula2>A25</formula2>
    </dataValidation>
    <dataValidation sqref="J30" showDropDown="0" showInputMessage="0" showErrorMessage="1" allowBlank="1" errorTitle="Alerta" error="Valor Fuera de Rango" type="decimal" errorStyle="stop" operator="between">
      <formula1>A9</formula1>
      <formula2>A10</formula2>
    </dataValidation>
    <dataValidation sqref="J12" showDropDown="0" showInputMessage="0" showErrorMessage="1" allowBlank="1" errorTitle="Alerta" error="Valor Fuera de Rango" type="decimal" errorStyle="stop" operator="between">
      <formula1>A27</formula1>
      <formula2>A28</formula2>
    </dataValidation>
    <dataValidation sqref="J18" showDropDown="0" showInputMessage="0" showErrorMessage="1" allowBlank="1" errorTitle="Alerta" error="Valor Fuera de Rango" type="decimal" errorStyle="stop" operator="between">
      <formula1>A21</formula1>
      <formula2>A22</formula2>
    </dataValidation>
    <dataValidation sqref="J33" showDropDown="0" showInputMessage="0" showErrorMessage="1" allowBlank="1" errorTitle="Alerta" error="Valor Fuera de Rango" type="decimal" errorStyle="stop" operator="between">
      <formula1>A6</formula1>
      <formula2>A7</formula2>
    </dataValidation>
    <dataValidation sqref="J8" showDropDown="0" showInputMessage="0" showErrorMessage="1" allowBlank="1" errorTitle="Alerta" error="Valor Fuera de Rango" type="decimal" errorStyle="stop" operator="between">
      <formula1>A31</formula1>
      <formula2>A32</formula2>
    </dataValidation>
    <dataValidation sqref="J11" showDropDown="0" showInputMessage="0" showErrorMessage="1" allowBlank="1" errorTitle="Alerta" error="Valor Fuera de Rango" type="decimal" errorStyle="stop" operator="between">
      <formula1>A28</formula1>
      <formula2>A29</formula2>
    </dataValidation>
    <dataValidation sqref="J29" showDropDown="0" showInputMessage="0" showErrorMessage="1" allowBlank="1" errorTitle="Alerta" error="Valor Fuera de Rango" type="decimal" errorStyle="stop" operator="between">
      <formula1>A10</formula1>
      <formula2>A11</formula2>
    </dataValidation>
    <dataValidation sqref="J19" showDropDown="0" showInputMessage="0" showErrorMessage="1" allowBlank="1" errorTitle="Alerta" error="Valor Fuera de Rango" type="decimal" errorStyle="stop" operator="between">
      <formula1>A20</formula1>
      <formula2>A21</formula2>
    </dataValidation>
    <dataValidation sqref="J23" showDropDown="0" showInputMessage="0" showErrorMessage="1" allowBlank="1" errorTitle="Alerta" error="Valor Fuera de Rango" type="decimal" errorStyle="stop" operator="between">
      <formula1>A16</formula1>
      <formula2>A17</formula2>
    </dataValidation>
    <dataValidation sqref="J21" showDropDown="0" showInputMessage="0" showErrorMessage="1" allowBlank="1" errorTitle="Alerta" error="Valor Fuera de Rango" type="decimal" errorStyle="stop" operator="between">
      <formula1>A18</formula1>
      <formula2>A19</formula2>
    </dataValidation>
    <dataValidation sqref="J25" showDropDown="0" showInputMessage="0" showErrorMessage="1" allowBlank="1" errorTitle="Alerta" error="Valor Fuera de Rango" type="decimal" errorStyle="stop" operator="between">
      <formula1>A14</formula1>
      <formula2>A15</formula2>
    </dataValidation>
    <dataValidation sqref="J26" showDropDown="0" showInputMessage="0" showErrorMessage="1" allowBlank="1" errorTitle="Alerta" error="Valor Fuera de Rango" type="decimal" errorStyle="stop" operator="between">
      <formula1>A13</formula1>
      <formula2>A14</formula2>
    </dataValidation>
    <dataValidation sqref="J10" showDropDown="0" showInputMessage="0" showErrorMessage="1" allowBlank="1" errorTitle="Alerta" error="Valor Fuera de Rango" type="decimal" errorStyle="stop" operator="between">
      <formula1>A29</formula1>
      <formula2>A30</formula2>
    </dataValidation>
    <dataValidation sqref="J27" showDropDown="0" showInputMessage="0" showErrorMessage="1" allowBlank="1" errorTitle="Alerta" error="Valor Fuera de Rango" type="decimal" errorStyle="stop" operator="between">
      <formula1>A12</formula1>
      <formula2>A13</formula2>
    </dataValidation>
    <dataValidation sqref="J14" showDropDown="0" showInputMessage="0" showErrorMessage="1" allowBlank="1" errorTitle="Alerta" error="Valor Fuera de Rango" type="decimal" errorStyle="stop" operator="between">
      <formula1>A25</formula1>
      <formula2>A26</formula2>
    </dataValidation>
    <dataValidation sqref="J24" showDropDown="0" showInputMessage="0" showErrorMessage="1" allowBlank="1" errorTitle="Alerta" error="Valor Fuera de Rango" type="decimal" errorStyle="stop" operator="between">
      <formula1>A15</formula1>
      <formula2>A16</formula2>
    </dataValidation>
    <dataValidation sqref="J35" showDropDown="0" showInputMessage="0" showErrorMessage="1" allowBlank="1" errorTitle="Alerta" error="Valor Fuera de Rango" type="decimal" errorStyle="stop" operator="between">
      <formula1>A4</formula1>
      <formula2>A5</formula2>
    </dataValidation>
    <dataValidation sqref="J6" showDropDown="0" showInputMessage="1" showErrorMessage="1" allowBlank="1" errorTitle="Total Horas Clase" error="Valor fuera de rango" promptTitle="Total Horas Clase" prompt="Proporcionar el total de horas clase" type="whole" errorStyle="stop" operator="between">
      <formula1>A33</formula1>
      <formula2>A34</formula2>
    </dataValidation>
    <dataValidation sqref="K8" showDropDown="0" showInputMessage="0" showErrorMessage="1" allowBlank="1" errorTitle="Alerta" error="Valor Fuera de Rango" type="decimal" errorStyle="stop" operator="between">
      <formula1>A31</formula1>
      <formula2>A32</formula2>
    </dataValidation>
  </dataValidations>
  <printOptions gridLines="0" gridLinesSet="1"/>
  <pageMargins left="0.19685039370079" right="0.19685039370079" top="0.35433070866142" bottom="0.35433070866142" header="0.19685039370079" footer="0.15748031496063"/>
  <pageSetup orientation="portrai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showRowColHeaders="1" tabSelected="0" workbookViewId="0">
      <selection activeCell="A1" sqref="A1"/>
    </sheetView>
  </sheetViews>
  <sheetFormatPr baseColWidth="8" defaultRowHeight="14.4" customHeight="1" outlineLevelRow="0"/>
  <sheetData/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title xmlns:dc="http://purl.org/dc/elements/1.1/">Untitled Spreadsheet</dc:title>
  <dcterms:created xmlns:dcterms="http://purl.org/dc/terms/" xmlns:xsi="http://www.w3.org/2001/XMLSchema-instance" xsi:type="dcterms:W3CDTF">2011-12-29T05:14:53Z</dcterms:created>
  <dcterms:modified xmlns:dcterms="http://purl.org/dc/terms/" xmlns:xsi="http://www.w3.org/2001/XMLSchema-instance" xsi:type="dcterms:W3CDTF">2026-04-04T22:18:30Z</dcterms:modified>
</cp:coreProperties>
</file>